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DE26571-5F9B-4AD5-A100-B7B44FEA48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년" sheetId="3" r:id="rId1"/>
    <sheet name="2025년" sheetId="1" r:id="rId2"/>
    <sheet name="2024년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6" i="3" l="1"/>
  <c r="H201" i="3" l="1"/>
  <c r="H166" i="3"/>
  <c r="H159" i="3"/>
  <c r="H136" i="3"/>
  <c r="H131" i="3"/>
  <c r="H58" i="3"/>
  <c r="H25" i="3"/>
  <c r="H18" i="3"/>
  <c r="H222" i="3"/>
  <c r="H223" i="3" s="1"/>
  <c r="H207" i="3"/>
  <c r="H184" i="3"/>
  <c r="H185" i="3" s="1"/>
  <c r="H145" i="3"/>
  <c r="H88" i="3"/>
  <c r="H90" i="3"/>
  <c r="H108" i="3"/>
  <c r="H109" i="3" l="1"/>
  <c r="H146" i="3"/>
  <c r="H228" i="3" s="1"/>
  <c r="H59" i="3"/>
  <c r="H249" i="2"/>
  <c r="H250" i="2" s="1"/>
  <c r="H231" i="2"/>
  <c r="H43" i="2" l="1"/>
  <c r="H88" i="2" s="1"/>
  <c r="H68" i="2"/>
  <c r="H81" i="2"/>
  <c r="H87" i="2"/>
  <c r="H112" i="2"/>
  <c r="H137" i="2"/>
  <c r="H139" i="2"/>
  <c r="H142" i="2"/>
  <c r="H144" i="2"/>
  <c r="H145" i="2" s="1"/>
  <c r="H195" i="2"/>
  <c r="H201" i="2"/>
  <c r="H164" i="2" l="1"/>
  <c r="H202" i="2"/>
  <c r="H251" i="2" s="1"/>
  <c r="H234" i="1"/>
  <c r="H217" i="1"/>
  <c r="H212" i="1"/>
  <c r="H198" i="1"/>
  <c r="H189" i="1"/>
  <c r="H184" i="1"/>
  <c r="H161" i="1"/>
  <c r="H143" i="1"/>
  <c r="H141" i="1"/>
  <c r="H111" i="1"/>
  <c r="H79" i="1"/>
  <c r="H73" i="1"/>
  <c r="H54" i="1"/>
  <c r="H29" i="1"/>
  <c r="H25" i="1"/>
  <c r="H112" i="1" l="1"/>
  <c r="H235" i="1"/>
  <c r="H199" i="1"/>
  <c r="H162" i="1"/>
  <c r="H55" i="1"/>
  <c r="H236" i="1" l="1"/>
</calcChain>
</file>

<file path=xl/sharedStrings.xml><?xml version="1.0" encoding="utf-8"?>
<sst xmlns="http://schemas.openxmlformats.org/spreadsheetml/2006/main" count="2152" uniqueCount="560">
  <si>
    <t>번호</t>
  </si>
  <si>
    <t>경작자명</t>
  </si>
  <si>
    <t>삼포</t>
  </si>
  <si>
    <t>계약</t>
  </si>
  <si>
    <t>연근시작년도</t>
  </si>
  <si>
    <t>경작지주소</t>
  </si>
  <si>
    <t>식재</t>
  </si>
  <si>
    <t>미계약</t>
  </si>
  <si>
    <t>정부계열화(농협)</t>
  </si>
  <si>
    <t>공사(계약)</t>
  </si>
  <si>
    <t>직파</t>
  </si>
  <si>
    <t>경기 파주시 광탄면 마장리 191-3</t>
  </si>
  <si>
    <t>경기 파주시 광탄면 마장리 379-15,392-16</t>
  </si>
  <si>
    <t>경기 파주시 광탄면 발랑리 90-7</t>
  </si>
  <si>
    <t>경기 파주시 광탄면 방축리 645-0,644-0</t>
  </si>
  <si>
    <t>경기 파주시 광탄면 신산리 29-0</t>
  </si>
  <si>
    <t>경기 파주시 군내면 방목리 19-2</t>
  </si>
  <si>
    <t>경기 파주시 군내면 방목리 294-0</t>
  </si>
  <si>
    <t>경기 파주시 군내면 방목리 630-0</t>
  </si>
  <si>
    <t>경기 파주시 군내면 백연리 1-1,1-0,2-1</t>
  </si>
  <si>
    <t>경기 파주시 군내면 백연리 1020-0</t>
  </si>
  <si>
    <t>경기 파주시 군내면 백연리 1026-0,1027-0</t>
  </si>
  <si>
    <t>경기 파주시 군내면 백연리 1319-0,1320-0,1314-0</t>
  </si>
  <si>
    <t>경기 파주시 군내면 백연리 1339-0</t>
  </si>
  <si>
    <t>경기 파주시 군내면 백연리 1519,1520</t>
  </si>
  <si>
    <t>경기 파주시 군내면 백연리 1554-1,1554-2</t>
  </si>
  <si>
    <t>경기 파주시 군내면 백연리 371-2</t>
  </si>
  <si>
    <t>경기 파주시 군내면 백연리 399-0</t>
  </si>
  <si>
    <t>경기 파주시 군내면 백연리 473-4</t>
  </si>
  <si>
    <t>경기 파주시 군내면 백연리 50-5,50-8</t>
  </si>
  <si>
    <t>경기 파주시 군내면 백연리 60-0</t>
  </si>
  <si>
    <t>경기 파주시 군내면 백연리 62-0</t>
  </si>
  <si>
    <t>경기 파주시 군내면 백연리 773-1</t>
  </si>
  <si>
    <t>경기 파주시 군내면 읍내리 130</t>
  </si>
  <si>
    <t>경기 파주시 군내면 읍내리 152</t>
  </si>
  <si>
    <t>경기 파주시 군내면 읍내리 202</t>
  </si>
  <si>
    <t>경기 파주시 군내면 읍내리 215-0</t>
  </si>
  <si>
    <t>경기 파주시 군내면 읍내리 216-0</t>
  </si>
  <si>
    <t>경기 파주시 군내면 읍내리 223,224</t>
  </si>
  <si>
    <t>경기 파주시 군내면 읍내리 337-0,337-1</t>
  </si>
  <si>
    <t>경기 파주시 군내면 읍내리 356-0</t>
  </si>
  <si>
    <t>경기 파주시 군내면 읍내리 761-0</t>
  </si>
  <si>
    <t>경기 파주시 군내면 읍내리 766-0</t>
  </si>
  <si>
    <t>경기 파주시 군내면 읍내리 784-0</t>
  </si>
  <si>
    <t>경기 파주시 군내면 읍내리 산112</t>
  </si>
  <si>
    <t>경기 파주시 군내면 읍내리 산117-0</t>
  </si>
  <si>
    <t>경기 파주시 군내면 읍내리 산466,산117</t>
  </si>
  <si>
    <t>경기 파주시 군내면 점원리 1020-0,1016-0,1017-0,1018-0</t>
  </si>
  <si>
    <t>경기 파주시 군내면 점원리 1167-0</t>
  </si>
  <si>
    <t>경기 파주시 군내면 점원리 208-0</t>
  </si>
  <si>
    <t>경기 파주시 군내면 점원리 224-0</t>
  </si>
  <si>
    <t>경기 파주시 군내면 점원리 259-0,260-0</t>
  </si>
  <si>
    <t>경기 파주시 군내면 점원리 265</t>
  </si>
  <si>
    <t>경기 파주시 군내면 점원리 284-0</t>
  </si>
  <si>
    <t>경기 파주시 군내면 점원리 337-0</t>
  </si>
  <si>
    <t>경기 파주시 군내면 점원리 339-0,340-0</t>
  </si>
  <si>
    <t>경기 파주시 군내면 점원리 341-0</t>
  </si>
  <si>
    <t>경기 파주시 군내면 점원리 350,348</t>
  </si>
  <si>
    <t>경기 파주시 군내면 점원리 441-0,442-0,446-0,447-0,448-0</t>
  </si>
  <si>
    <t>경기 파주시 군내면 점원리 444-0,463-0,468-0,469-0</t>
  </si>
  <si>
    <t>경기 파주시 군내면 점원리 478-0,479-0,481-0,482-0</t>
  </si>
  <si>
    <t>경기 파주시 군내면 점원리 490-0</t>
  </si>
  <si>
    <t>경기 파주시 군내면 점원리 525-1,519-0,520-0,523-0</t>
  </si>
  <si>
    <t>경기 파주시 군내면 점원리 653-0,654-0</t>
  </si>
  <si>
    <t>경기 파주시 군내면 점원리 751-0,752-0,753-0,753-1</t>
  </si>
  <si>
    <t>경기 파주시 군내면 점원리 산109-0</t>
  </si>
  <si>
    <t>경기 파주시 군내면 정자리 141,142,143</t>
  </si>
  <si>
    <t>경기 파주시 군내면 정자리 232-0</t>
  </si>
  <si>
    <t>경기 파주시 군내면 정자리 410-0</t>
  </si>
  <si>
    <t>경기 파주시 군내면 정자리 47</t>
  </si>
  <si>
    <t>경기 파주시 문산읍 당동리 288-1,288-2</t>
  </si>
  <si>
    <t>경기 파주시 문산읍 당동리 397-1,396-2,396-5</t>
  </si>
  <si>
    <t>경기 파주시 문산읍 마정리 1448,1446-1,1447,1447-1</t>
  </si>
  <si>
    <t>경기 파주시 문산읍 마정리 625-8,625-9,625-10</t>
  </si>
  <si>
    <t>경기 파주시 문산읍 사목리 101-3,99-2,101-1</t>
  </si>
  <si>
    <t>경기 파주시 문산읍 장산리 207-0,209-1</t>
  </si>
  <si>
    <t>경기 파주시 문산읍 장산리 240-0</t>
  </si>
  <si>
    <t>경기 파주시 법원읍 금곡리 100,102</t>
  </si>
  <si>
    <t>경기 파주시 법원읍 동문리 522-0</t>
  </si>
  <si>
    <t>경기 파주시 법원읍 직천리 718-4</t>
  </si>
  <si>
    <t>경기 파주시 장단면 거곡리 915-0,914-0</t>
  </si>
  <si>
    <t>경기 파주시 장단면 노상리 186-0</t>
  </si>
  <si>
    <t>경기 파주시 장단면 노상리 253-0,258-0,259-0</t>
  </si>
  <si>
    <t>경기 파주시 장단면 노상리 253-0,258-0,산73-0</t>
  </si>
  <si>
    <t>경기 파주시 장단면 노상리 303-0</t>
  </si>
  <si>
    <t>경기 파주시 장단면 노상리 341</t>
  </si>
  <si>
    <t>경기 파주시 장단면 노상리 666-3,668,666-2</t>
  </si>
  <si>
    <t>경기 파주시 장단면 노상리 704</t>
  </si>
  <si>
    <t>경기 파주시 장단면 노상리 778-0</t>
  </si>
  <si>
    <t>경기 파주시 장단면 노상리 85-0</t>
  </si>
  <si>
    <t>경기 파주시 장단면 노상리 산45</t>
  </si>
  <si>
    <t>경기 파주시 장단면 정동리 27-0</t>
  </si>
  <si>
    <t>경기 파주시 적성면 가월리 1184-0,1183-0</t>
  </si>
  <si>
    <t>경기 파주시 적성면 가월리 1456-0,1454-0,1455-0</t>
  </si>
  <si>
    <t>경기 파주시 적성면 가월리 1459,1457,1458</t>
  </si>
  <si>
    <t>경기 파주시 적성면 가월리 1479-0</t>
  </si>
  <si>
    <t>경기 파주시 적성면 가월리 1721-0,1722-0</t>
  </si>
  <si>
    <t>경기 파주시 적성면 가월리 1727-0,1729-0</t>
  </si>
  <si>
    <t>경기 파주시 적성면 가월리 1743-0,1753-0</t>
  </si>
  <si>
    <t>경기 파주시 적성면 가월리 62-17,62-18,906-0,907-0,911-0</t>
  </si>
  <si>
    <t>경기 파주시 적성면 가월리 686-0,684-0,685-0</t>
  </si>
  <si>
    <t>경기 파주시 적성면 가월리 774-0,775-0,773-0</t>
  </si>
  <si>
    <t>경기 파주시 적성면 가월리 776-0,777-0,778-0</t>
  </si>
  <si>
    <t>경기 파주시 적성면 가월리 840-0</t>
  </si>
  <si>
    <t>경기 파주시 적성면 가월리 841-0</t>
  </si>
  <si>
    <t>경기 파주시 적성면 가월리 924-0,925-0</t>
  </si>
  <si>
    <t>경기 파주시 적성면 가월리 985-0,37-12,38-3,38-11,38-12,38-18,38-16</t>
  </si>
  <si>
    <t>경기 파주시 적성면 객현리 217</t>
  </si>
  <si>
    <t>경기 파주시 적성면 객현리 27-1</t>
  </si>
  <si>
    <t>경기 파주시 적성면 객현리 556-9</t>
  </si>
  <si>
    <t>경기 파주시 적성면 객현리 578-0,579-0</t>
  </si>
  <si>
    <t>경기 파주시 적성면 객현리 763-0</t>
  </si>
  <si>
    <t>경기 파주시 적성면 구읍리 105-0,산68-1</t>
  </si>
  <si>
    <t>경기 파주시 적성면 구읍리 258-0,259-1</t>
  </si>
  <si>
    <t>경기 파주시 적성면 구읍리 680-0</t>
  </si>
  <si>
    <t>경기 파주시 적성면 구읍리 682-3,680-0,681-0</t>
  </si>
  <si>
    <t>경기 파주시 적성면 구읍리 818</t>
  </si>
  <si>
    <t>경기 파주시 적성면 구읍리 853-0,855-0</t>
  </si>
  <si>
    <t>경기 파주시 적성면 구읍리 868-0</t>
  </si>
  <si>
    <t>경기 파주시 적성면 구읍리 929-0,930-0,931-0</t>
  </si>
  <si>
    <t>경기 파주시 적성면 구읍리 934-0,935-0,936-0</t>
  </si>
  <si>
    <t>경기 파주시 적성면 답곡리 457-2,460-1,457-1</t>
  </si>
  <si>
    <t>경기 파주시 적성면 마지리 366-8</t>
  </si>
  <si>
    <t>경기 파주시 적성면 마지리 371-9</t>
  </si>
  <si>
    <t>경기 파주시 적성면 마지리 97-0,97-1,325-2</t>
  </si>
  <si>
    <t>경기 파주시 적성면 무건리 105-0,116-0</t>
  </si>
  <si>
    <t>경기 파주시 적성면 무건리 106-0</t>
  </si>
  <si>
    <t>경기 파주시 적성면 식현리 216-7</t>
  </si>
  <si>
    <t>경기 파주시 적성면 식현리 250-4</t>
  </si>
  <si>
    <t>경기 파주시 적성면 율포리 338-121,338-122</t>
  </si>
  <si>
    <t>경기 파주시 적성면 율포리 338-157,338-158</t>
  </si>
  <si>
    <t>경기 파주시 적성면 율포리 338-282,338-284,335-2,335-3,337-7</t>
  </si>
  <si>
    <t>경기 파주시 적성면 율포리 338-287,338-288,338-289,338-290,377-7,377-10,377-11</t>
  </si>
  <si>
    <t>경기 파주시 적성면 율포리 338-45,338-46</t>
  </si>
  <si>
    <t>경기 파주시 적성면 율포리 38-4,32-28</t>
  </si>
  <si>
    <t>경기 파주시 적성면 자장리 352-0</t>
  </si>
  <si>
    <t>경기 파주시 적성면 자장리 396-0</t>
  </si>
  <si>
    <t>경기 파주시 적성면 자장리 914,913</t>
  </si>
  <si>
    <t>경기 파주시 적성면 장좌리 415</t>
  </si>
  <si>
    <t>경기 파주시 적성면 장좌리 630-0</t>
  </si>
  <si>
    <t>경기 파주시 적성면 장현리 225-2,225-3</t>
  </si>
  <si>
    <t>경기 파주시 적성면 장현리 228-1,228-2,228-3,228-5,229-0,230-0,231-0,232-0</t>
  </si>
  <si>
    <t>경기 파주시 적성면 장현리 404-11,404-13</t>
  </si>
  <si>
    <t>경기 파주시 적성면 적암리 126-1,126-2,126-3</t>
  </si>
  <si>
    <t>경기 파주시 적성면 적암리 140-21,140-19,148-2,148-4</t>
  </si>
  <si>
    <t>경기 파주시 적성면 적암리 146-6,146-7,146-8,146-16,146-18,140-19,140-20,140-21,146-20,146-21</t>
  </si>
  <si>
    <t>경기 파주시 적성면 적암리 246-1,248-2,248-3</t>
  </si>
  <si>
    <t>경기 파주시 적성면 적암리 40-8,67-1,67-2</t>
  </si>
  <si>
    <t>경기 파주시 적성면 적암리 68-2,68-3</t>
  </si>
  <si>
    <t>경기 파주시 적성면 주월리 1057-0</t>
  </si>
  <si>
    <t>경기 파주시 적성면 주월리 1067-0</t>
  </si>
  <si>
    <t>경기 파주시 적성면 주월리 1075-0,1076-0,1077-0,1078-0</t>
  </si>
  <si>
    <t>경기 파주시 적성면 주월리 1096-0,1097-0</t>
  </si>
  <si>
    <t>경기 파주시 적성면 주월리 1188-0,1190-0</t>
  </si>
  <si>
    <t>경기 파주시 적성면 주월리 1272-0</t>
  </si>
  <si>
    <t>경기 파주시 적성면 주월리 1274-0</t>
  </si>
  <si>
    <t>경기 파주시 적성면 주월리 1314-0,1315-0,1392-0,1393-0</t>
  </si>
  <si>
    <t>경기 파주시 적성면 주월리 363-5,363-7,434-0</t>
  </si>
  <si>
    <t>경기 파주시 적성면 주월리 583-0,557-0</t>
  </si>
  <si>
    <t>경기 파주시 적성면 주월리 585</t>
  </si>
  <si>
    <t>경기 파주시 적성면 주월리 680-0,689-0</t>
  </si>
  <si>
    <t>경기 파주시 적성면 주월리 760,761,735</t>
  </si>
  <si>
    <t>경기 파주시 적성면 주월리 853-0</t>
  </si>
  <si>
    <t>경기 파주시 적성면 주월리 907</t>
  </si>
  <si>
    <t>경기 파주시 진동면 동파리 1044-1,1044-3,1048-0</t>
  </si>
  <si>
    <t>경기 파주시 진동면 동파리 1049-0,1050-0,1051-0,1052-0</t>
  </si>
  <si>
    <t>경기 파주시 진동면 동파리 1366-0</t>
  </si>
  <si>
    <t>경기 파주시 진동면 동파리 1413</t>
  </si>
  <si>
    <t>경기 파주시 진동면 동파리 1426-0</t>
  </si>
  <si>
    <t>경기 파주시 진동면 동파리 1496-0</t>
  </si>
  <si>
    <t>경기 파주시 진동면 동파리 19-0,16-0,17-0</t>
  </si>
  <si>
    <t>경기 파주시 진동면 동파리 25-0</t>
  </si>
  <si>
    <t>경기 파주시 진동면 동파리 893-0,894-0,935-0</t>
  </si>
  <si>
    <t>경기 파주시 진동면 서곡리 412-0,413-0</t>
  </si>
  <si>
    <t>경기 파주시 진동면 서곡리 431,430</t>
  </si>
  <si>
    <t>경기 파주시 진동면 서곡리 455</t>
  </si>
  <si>
    <t>묘삼</t>
  </si>
  <si>
    <t>경기 파주시 진동면 서곡리 465-0</t>
  </si>
  <si>
    <t>경기 파주시 진동면 서곡리 488,489</t>
  </si>
  <si>
    <t>경기 파주시 진동면 서곡리 510-0</t>
  </si>
  <si>
    <t>경기 파주시 진동면 서곡리 511</t>
  </si>
  <si>
    <t>경기 파주시 진동면 서곡리 511-0</t>
  </si>
  <si>
    <t>경기 파주시 진동면 서곡리 512-0</t>
  </si>
  <si>
    <t>경기 파주시 진동면 서곡리 845-0,846-0,847-0</t>
  </si>
  <si>
    <t>경기 파주시 진동면 서곡리 861-0,865-0</t>
  </si>
  <si>
    <t>경기 파주시 진동면 서곡리 888-0,890-0</t>
  </si>
  <si>
    <t>경기 파주시 진동면 서곡리 산188-0,산188-1</t>
  </si>
  <si>
    <t>경기 파주시 진동면 용산리 34-0</t>
  </si>
  <si>
    <t>경기 파주시 진동면 초리 886-2</t>
  </si>
  <si>
    <t>경기 파주시 진동면 하포리 1052-0,1051-0</t>
  </si>
  <si>
    <t>경기 파주시 진동면 하포리 1068-0,1069-0</t>
  </si>
  <si>
    <t>경기 파주시 진동면 하포리 1088-0</t>
  </si>
  <si>
    <t>경기 파주시 진동면 하포리 1157-0,1226-1</t>
  </si>
  <si>
    <t>경기 파주시 진동면 하포리 1180</t>
  </si>
  <si>
    <t>경기 파주시 진동면 하포리 1180-0</t>
  </si>
  <si>
    <t>경기 파주시 진동면 하포리 1181,1182</t>
  </si>
  <si>
    <t>경기 파주시 진동면 하포리 1191-1</t>
  </si>
  <si>
    <t>경기 파주시 진동면 하포리 1200-0</t>
  </si>
  <si>
    <t>경기 파주시 진동면 하포리 1213-0</t>
  </si>
  <si>
    <t>경기 파주시 진동면 하포리 1249-0</t>
  </si>
  <si>
    <t>경기 파주시 진동면 하포리 242-0,257-0,258-0</t>
  </si>
  <si>
    <t>경기 파주시 진동면 하포리 349-0,350-0</t>
  </si>
  <si>
    <t>경기 파주시 진동면 하포리 516-0</t>
  </si>
  <si>
    <t>경기 파주시 진동면 하포리 562-0</t>
  </si>
  <si>
    <t>경기 파주시 진동면 하포리 675-0</t>
  </si>
  <si>
    <t>경기 파주시 진동면 하포리 842-0</t>
  </si>
  <si>
    <t>경기 파주시 파평면 금파리 102-1,104</t>
  </si>
  <si>
    <t>경기 파주시 파평면 금파리 234-6,234-7</t>
  </si>
  <si>
    <t>경기 파주시 파평면 금파리 65-0</t>
  </si>
  <si>
    <t>경기 파주시 파평면 눌노리 723</t>
  </si>
  <si>
    <t>경기 파주시 파평면 눌노리 산7-1</t>
  </si>
  <si>
    <t>경기 파주시 파평면 덕천리 229-2,230-0,230-1,235-0,235-1</t>
  </si>
  <si>
    <t>경기 파주시 파평면 덕천리 469-1,469-3,469-5,469-6</t>
  </si>
  <si>
    <t>경기 파주시 파평면 장파리 127-4</t>
  </si>
  <si>
    <t>경기 파주시 파평면 장파리 236-0,237-0,237-0</t>
  </si>
  <si>
    <t>경기 파주시 파평면 장파리 산674-0,산675-0</t>
  </si>
  <si>
    <t>6년근 공사계약</t>
    <phoneticPr fontId="4" type="noConversion"/>
  </si>
  <si>
    <t>6년근 미계약</t>
    <phoneticPr fontId="4" type="noConversion"/>
  </si>
  <si>
    <t>6년근 조합계약</t>
    <phoneticPr fontId="4" type="noConversion"/>
  </si>
  <si>
    <t>22개소</t>
    <phoneticPr fontId="4" type="noConversion"/>
  </si>
  <si>
    <t>3개소</t>
    <phoneticPr fontId="4" type="noConversion"/>
  </si>
  <si>
    <t>24개소</t>
    <phoneticPr fontId="4" type="noConversion"/>
  </si>
  <si>
    <t>49개소</t>
    <phoneticPr fontId="4" type="noConversion"/>
  </si>
  <si>
    <t>6년근 합계</t>
    <phoneticPr fontId="4" type="noConversion"/>
  </si>
  <si>
    <t>17개소</t>
    <phoneticPr fontId="4" type="noConversion"/>
  </si>
  <si>
    <t>5개소</t>
    <phoneticPr fontId="4" type="noConversion"/>
  </si>
  <si>
    <t>28개소</t>
    <phoneticPr fontId="4" type="noConversion"/>
  </si>
  <si>
    <t>5년근 조합계약</t>
    <phoneticPr fontId="4" type="noConversion"/>
  </si>
  <si>
    <t>5년근 공사계약</t>
    <phoneticPr fontId="4" type="noConversion"/>
  </si>
  <si>
    <t>5년근 미계약</t>
    <phoneticPr fontId="4" type="noConversion"/>
  </si>
  <si>
    <t>5년근 합계</t>
    <phoneticPr fontId="4" type="noConversion"/>
  </si>
  <si>
    <t>50개소</t>
    <phoneticPr fontId="4" type="noConversion"/>
  </si>
  <si>
    <t>4년근 공사계약</t>
    <phoneticPr fontId="4" type="noConversion"/>
  </si>
  <si>
    <t>4년근 미계약</t>
    <phoneticPr fontId="4" type="noConversion"/>
  </si>
  <si>
    <t>4년근 조합계약</t>
    <phoneticPr fontId="4" type="noConversion"/>
  </si>
  <si>
    <t>4년근 합계</t>
    <phoneticPr fontId="4" type="noConversion"/>
  </si>
  <si>
    <t>17개소</t>
    <phoneticPr fontId="4" type="noConversion"/>
  </si>
  <si>
    <t>26개소</t>
    <phoneticPr fontId="4" type="noConversion"/>
  </si>
  <si>
    <t>1개소</t>
    <phoneticPr fontId="4" type="noConversion"/>
  </si>
  <si>
    <t>44개소</t>
    <phoneticPr fontId="4" type="noConversion"/>
  </si>
  <si>
    <t>3년근 공사계약</t>
    <phoneticPr fontId="4" type="noConversion"/>
  </si>
  <si>
    <t>3년근 미계약</t>
    <phoneticPr fontId="4" type="noConversion"/>
  </si>
  <si>
    <t>3년근 조합계약</t>
    <phoneticPr fontId="4" type="noConversion"/>
  </si>
  <si>
    <t>3년근 합계</t>
    <phoneticPr fontId="4" type="noConversion"/>
  </si>
  <si>
    <t>21개소</t>
    <phoneticPr fontId="4" type="noConversion"/>
  </si>
  <si>
    <t>4개소</t>
    <phoneticPr fontId="4" type="noConversion"/>
  </si>
  <si>
    <t>8개소</t>
    <phoneticPr fontId="4" type="noConversion"/>
  </si>
  <si>
    <t>2년근 공사계약</t>
    <phoneticPr fontId="4" type="noConversion"/>
  </si>
  <si>
    <t>2년근 미계약</t>
    <phoneticPr fontId="4" type="noConversion"/>
  </si>
  <si>
    <t>2년근 조합계약</t>
    <phoneticPr fontId="4" type="noConversion"/>
  </si>
  <si>
    <t>2년근 합계</t>
    <phoneticPr fontId="4" type="noConversion"/>
  </si>
  <si>
    <t>12개소</t>
    <phoneticPr fontId="4" type="noConversion"/>
  </si>
  <si>
    <t>14개소</t>
    <phoneticPr fontId="4" type="noConversion"/>
  </si>
  <si>
    <t>33개소</t>
    <phoneticPr fontId="4" type="noConversion"/>
  </si>
  <si>
    <t>30개소</t>
    <phoneticPr fontId="4" type="noConversion"/>
  </si>
  <si>
    <t>6년근</t>
    <phoneticPr fontId="4" type="noConversion"/>
  </si>
  <si>
    <t>연근</t>
    <phoneticPr fontId="4" type="noConversion"/>
  </si>
  <si>
    <t>공사</t>
    <phoneticPr fontId="4" type="noConversion"/>
  </si>
  <si>
    <t>미계약</t>
    <phoneticPr fontId="4" type="noConversion"/>
  </si>
  <si>
    <t>조합</t>
    <phoneticPr fontId="4" type="noConversion"/>
  </si>
  <si>
    <t>5년근</t>
    <phoneticPr fontId="4" type="noConversion"/>
  </si>
  <si>
    <t>3년근</t>
    <phoneticPr fontId="4" type="noConversion"/>
  </si>
  <si>
    <t>4년근</t>
    <phoneticPr fontId="4" type="noConversion"/>
  </si>
  <si>
    <t>2년근</t>
    <phoneticPr fontId="4" type="noConversion"/>
  </si>
  <si>
    <t>면적</t>
    <phoneticPr fontId="4" type="noConversion"/>
  </si>
  <si>
    <t>계약구분</t>
    <phoneticPr fontId="4" type="noConversion"/>
  </si>
  <si>
    <t>[413-940] 경기 파주시 진동면 하포리 1212-0</t>
    <phoneticPr fontId="7" type="noConversion"/>
  </si>
  <si>
    <t>[413-940] 경기 파주시 진동면 서곡리 417-0,433-0</t>
  </si>
  <si>
    <t>[413-940] 경기 파주시 진동면 서곡리 244-0</t>
  </si>
  <si>
    <t>[413-930] 경기 파주시 장단면 노상리 293-0</t>
  </si>
  <si>
    <t>[413-920] 경기 파주시 군내면 정자리 585-0</t>
  </si>
  <si>
    <t>[413-920] 경기 파주시 군내면 점원리 170-0</t>
  </si>
  <si>
    <t>[413-920] 경기 파주시 군내면 점원리 1020-0,1021-0,1023-0,1024-0</t>
  </si>
  <si>
    <t>[413-920] 경기 파주시 군내면 읍내리 337-1,343-0</t>
  </si>
  <si>
    <t>[413-920] 경기 파주시 군내면 읍내리 221-0</t>
  </si>
  <si>
    <t>[413-920] 경기 파주시 군내면 백연리 780-0</t>
  </si>
  <si>
    <t>[413-920] 경기 파주시 군내면 백연리 778-0</t>
  </si>
  <si>
    <t>[413-920] 경기 파주시 군내면 백연리 774-0,806-0</t>
  </si>
  <si>
    <t>[413-914] 경기 파주시 적성면 적암리 87-0,87-3</t>
  </si>
  <si>
    <t>[413-914] 경기 파주시 적성면 적암리 248-1,248-3,248-2,247-1</t>
  </si>
  <si>
    <t>[413-914] 경기 파주시 적성면 장현리 502-0,503-13</t>
  </si>
  <si>
    <t>[413-914] 경기 파주시 적성면 장현리 380-1,380-6,산116-0</t>
  </si>
  <si>
    <t>[413-914] 경기 파주시 적성면 율포리 61-1,61-2,61-3,61-4</t>
  </si>
  <si>
    <t>[413-914] 경기 파주시 적성면 율포리 31-1,32-1,32-2,32-26,32-27,38-3,60-3,64-1,67-5</t>
  </si>
  <si>
    <t>[413-912] 경기 파주시 적성면 자장리 121-3</t>
  </si>
  <si>
    <t>[413-912] 경기 파주시 적성면 식현리 216-8,216-10,217-10</t>
  </si>
  <si>
    <t>[413-912] 경기 파주시 적성면 답곡리 365-0,365-1,365-2,365-3,366-0,367-0</t>
  </si>
  <si>
    <t>[413-911] 경기 파주시 적성면 주월리 909-0</t>
  </si>
  <si>
    <t>[413-911] 경기 파주시 적성면 주월리 897-0,899-0</t>
  </si>
  <si>
    <t>[413-911] 경기 파주시 적성면 객현리 352-9</t>
  </si>
  <si>
    <t>[413-911] 경기 파주시 적성면 가월리 884-0,867-0,94-11,106-4,106-6</t>
  </si>
  <si>
    <t>[413-903] 경기 파주시 문산읍 장산리 262-0</t>
  </si>
  <si>
    <t>[413-903] 경기 파주시 문산읍 장산리 206-1</t>
  </si>
  <si>
    <t>[413-903] 경기 파주시 문산읍 장산리 149-2</t>
  </si>
  <si>
    <t>[413-903] 경기 파주시 문산읍 장산리 122-1,123-0,123-3</t>
  </si>
  <si>
    <t>[413-903] 경기 파주시 문산읍 장산리 116-6</t>
  </si>
  <si>
    <t>[413-881] 경기 파주시 파평면 장파리 841-0,842-0,843-0</t>
  </si>
  <si>
    <t>[413-881] 경기 파주시 파평면 장파리 538-0,539-0,540-0</t>
  </si>
  <si>
    <t>[413-881] 경기 파주시 파평면 장파리 522-0,523-0,523-1,524-0,525-0,425-53,425-54,425-79</t>
  </si>
  <si>
    <t>[413-873] 경기 파주시 법원읍 웅담리 224-1</t>
  </si>
  <si>
    <t>[413-873] 경기 파주시 법원읍 웅담리 221-0,222-0,224-1</t>
  </si>
  <si>
    <t>[413-872] 경기 파주시 법원읍 직천리 714-4,718-1,718-2</t>
  </si>
  <si>
    <t>[413-803] 경기 파주시 아동동 176-1,178-1,178-2,178-3,178-4,178-5</t>
  </si>
  <si>
    <t>[413-940] 경기 파주시 진동면 동파리 1543-0</t>
  </si>
  <si>
    <t>[413-940] 경기 파주시 진동면 동파리 1253-0</t>
  </si>
  <si>
    <t>[413-920] 경기 파주시 군내면 점원리 918-0</t>
  </si>
  <si>
    <t>[413-920] 경기 파주시 군내면 점원리 1187-0,1188-0,1189-0</t>
  </si>
  <si>
    <t>[413-920] 경기 파주시 군내면 점원리 1066-0</t>
  </si>
  <si>
    <t>[413-920] 경기 파주시 군내면 읍내리 162-0,163-0,164-0</t>
  </si>
  <si>
    <t>[413-920] 경기 파주시 군내면 백연리 975-0</t>
  </si>
  <si>
    <t>[413-920] 경기 파주시 군내면 백연리 795-0</t>
  </si>
  <si>
    <t>[413-920] 경기 파주시 군내면 백연리 1-1</t>
  </si>
  <si>
    <t>[413-920] 경기 파주시 군내면 백연리 1058-0</t>
  </si>
  <si>
    <t>[413-914] 경기 파주시 적성면 장현리 379-1,378-5,379-4,386-1,379-6</t>
  </si>
  <si>
    <t>[413-914] 경기 파주시 적성면 율포리 53-2,72-0,53-1</t>
  </si>
  <si>
    <t>[413-914] 경기 파주시 적성면 율포리 47-5,47-6</t>
  </si>
  <si>
    <t>[413-914] 경기 파주시 적성면 율포리 338-168</t>
  </si>
  <si>
    <t>[413-914] 경기 파주시 적성면 어유지리 364-0,365-0</t>
  </si>
  <si>
    <t>[413-912] 경기 파주시 적성면 자장리 748-0,749-0</t>
  </si>
  <si>
    <t>[413-911] 경기 파주시 적성면 주월리 1194-0,1195-0</t>
  </si>
  <si>
    <t>[413-911] 경기 파주시 적성면 장좌리 860-0</t>
  </si>
  <si>
    <t>[413-911] 경기 파주시 적성면 장좌리 859-0</t>
  </si>
  <si>
    <t>[413-911] 경기 파주시 적성면 장좌리 623-0,636-1,640-0</t>
  </si>
  <si>
    <t>[413-911] 경기 파주시 적성면 가월리 705-0,706-0,707-0,708-0</t>
  </si>
  <si>
    <t>[413-903] 경기 파주시 문산읍 장산리 308-0</t>
  </si>
  <si>
    <t>[413-873] 경기 파주시 법원읍 웅담리 산4-1</t>
  </si>
  <si>
    <t>[413-853] 경기 파주시 광탄면 창만리 119-0</t>
  </si>
  <si>
    <t>[413-940] 경기 파주시 진동면 용산리 34-0</t>
  </si>
  <si>
    <t>[413-930] 경기 파주시 장단면 노상리 54-0</t>
  </si>
  <si>
    <t>[413-920] 경기 파주시 군내면 정자리 126-0</t>
  </si>
  <si>
    <t>[413-920] 경기 파주시 군내면 읍내리 814-0</t>
  </si>
  <si>
    <t>[413-920] 경기 파주시 군내면 방목리 175-0</t>
  </si>
  <si>
    <t>[413-911] 경기 파주시 적성면 구읍리 784-0,795-0</t>
  </si>
  <si>
    <t>[413-872] 경기 파주시 법원읍 직천리 837-0</t>
  </si>
  <si>
    <t>[413-920] 경기 파주시 군내면 점원리 234-0,244-2,243-3</t>
  </si>
  <si>
    <t>[413-920] 경기 파주시 군내면 읍내리 647-0</t>
  </si>
  <si>
    <t>[413-920] 경기 파주시 군내면 읍내리 153-0</t>
  </si>
  <si>
    <t>[413-903] 경기 파주시 문산읍 장산리 121-1,121-0,120-10,120-30,120-31,120-35</t>
  </si>
  <si>
    <t>[413-872] 경기 파주시 법원읍 직천리 706-3,706-8,706-9</t>
  </si>
  <si>
    <t>[413-940] 경기 파주시 진동면 하포리 562-0</t>
  </si>
  <si>
    <t>[413-920] 경기 파주시 군내면 점원리 224-0</t>
  </si>
  <si>
    <t>[413-911] 경기 파주시 적성면 가월리 62-17,62-18,906-0,907-0,911-0</t>
  </si>
  <si>
    <t>[413-911] 경기 파주시 적성면 객현리 578-0,579-0</t>
  </si>
  <si>
    <t>[413-914] 경기 파주시 적성면 적암리 68-2,68-3</t>
  </si>
  <si>
    <t>[413-914] 경기 파주시 적성면 적암리 126-1,126-2,126-3</t>
  </si>
  <si>
    <t>[413-940] 경기 파주시 진동면 하포리 1200-0</t>
  </si>
  <si>
    <t>[413-911] 경기 파주시 적성면 구읍리 680-0</t>
  </si>
  <si>
    <t>[413-911] 경기 파주시 적성면 주월리 853-0</t>
  </si>
  <si>
    <t>[413-911] 경기 파주시 적성면 가월리 1743-0,1753-0</t>
  </si>
  <si>
    <t>[413-911] 경기 파주시 적성면 가월리 1727-0,1729-0</t>
  </si>
  <si>
    <t>[413-940] 경기 파주시 진동면 하포리 1107-0,1108-0</t>
  </si>
  <si>
    <t>[413-911] 경기 파주시 적성면 가월리 1721-0,1722-0</t>
  </si>
  <si>
    <t>[413-920] 경기 파주시 군내면 백연리 60-0</t>
  </si>
  <si>
    <t>[413-903] 경기 파주시 문산읍 장산리 240-0</t>
  </si>
  <si>
    <t>[413-920] 경기 파주시 군내면 방목리 630-0</t>
  </si>
  <si>
    <t>[413-920] 경기 파주시 군내면 방목리 294-0</t>
  </si>
  <si>
    <t>[413-882] 경기 파주시 파평면 눌노리 산7-1</t>
  </si>
  <si>
    <t>[413-940] 경기 파주시 진동면 동파리 1426-0</t>
  </si>
  <si>
    <t>[413-930] 경기 파주시 장단면 노상리 778-0</t>
  </si>
  <si>
    <t>[413-930] 경기 파주시 장단면 노상리 303-0</t>
  </si>
  <si>
    <t>[413-903] 경기 파주시 문산읍 장산리 207-0,209-1</t>
  </si>
  <si>
    <t>[413-881] 경기 파주시 파평면 장파리 산674-0,산675-0</t>
  </si>
  <si>
    <t>[413-940] 경기 파주시 진동면 동파리 25-0</t>
  </si>
  <si>
    <t>[413-911] 경기 파주시 적성면 객현리 763-0</t>
  </si>
  <si>
    <t>[413-911] 경기 파주시 적성면 가월리 1462-0</t>
  </si>
  <si>
    <t>[413-911] 경기 파주시 적성면 주월리 1057-0</t>
  </si>
  <si>
    <t>[413-911] 경기 파주시 적성면 구읍리 929-0,930-0,931-0</t>
  </si>
  <si>
    <t>[413-920] 경기 파주시 군내면 점원리 208-0</t>
  </si>
  <si>
    <t>[413-940] 경기 파주시 진동면 서곡리 888-0,890-0</t>
  </si>
  <si>
    <t>[413-940] 경기 파주시 진동면 하포리 675-0</t>
  </si>
  <si>
    <t>[413-920] 경기 파주시 군내면 정자리 232-0</t>
  </si>
  <si>
    <t>[413-914] 경기 파주시 적성면 율포리 338-157,338-158</t>
  </si>
  <si>
    <t>[413-920] 경기 파주시 군내면 점원리 284-0</t>
  </si>
  <si>
    <t>[413-920] 경기 파주시 군내면 백연리 773-1</t>
  </si>
  <si>
    <t>[413-920] 경기 파주시 군내면 백연리 1319-0,1320-0,1314-0</t>
  </si>
  <si>
    <t>[413-940] 경기 파주시 진동면 하포리 1213-0</t>
  </si>
  <si>
    <t>[413-911] 경기 파주시 적성면 주월리 1314-0,1315-0,1392-0,1393-0</t>
  </si>
  <si>
    <t>[413-911] 경기 파주시 적성면 주월리 1075-0,1076-0,1077-0,1078-0</t>
  </si>
  <si>
    <t>[413-940] 경기 파주시 진동면 하포리 349-0,350-0</t>
  </si>
  <si>
    <t>[413-940] 경기 파주시 진동면 서곡리 465-0</t>
  </si>
  <si>
    <t>[413-920] 경기 파주시 군내면 점원리 1167-0</t>
  </si>
  <si>
    <t>[413-940] 경기 파주시 진동면 하포리 842-0</t>
  </si>
  <si>
    <t>[413-940] 경기 파주시 진동면 서곡리 512-0</t>
  </si>
  <si>
    <t>[413-914] 경기 파주시 적성면 율포리 338-287,338-288,338-289,338-290,377-7,377-10,377-11</t>
  </si>
  <si>
    <t>[413-920] 경기 파주시 군내면 점원리 산109-0</t>
  </si>
  <si>
    <t>[413-881] 경기 파주시 파평면 장파리 236-0,237-0,237-0</t>
  </si>
  <si>
    <t>[413-930] 경기 파주시 장단면 노상리 85-0</t>
  </si>
  <si>
    <t>[413-920] 경기 파주시 군내면 읍내리 784-0</t>
  </si>
  <si>
    <t>[413-940] 경기 파주시 진동면 서곡리 861-0,865-0</t>
  </si>
  <si>
    <t>[413-940] 경기 파주시 진동면 하포리 1249-0</t>
  </si>
  <si>
    <t>[413-940] 경기 파주시 진동면 초리 886-2</t>
  </si>
  <si>
    <t>[413-940] 경기 파주시 진동면 서곡리 산188-0,산188-1</t>
  </si>
  <si>
    <t>[413-940] 경기 파주시 진동면 동파리 893-0,894-0,935-0</t>
  </si>
  <si>
    <t>[413-940] 경기 파주시 진동면 동파리 1496-0</t>
  </si>
  <si>
    <t>[413-920] 경기 파주시 군내면 점원리 751-0,752-0,753-0,753-1</t>
  </si>
  <si>
    <t>[413-920] 경기 파주시 군내면 점원리 337-0</t>
  </si>
  <si>
    <t>[413-920] 경기 파주시 군내면 읍내리 337-0,337-1</t>
  </si>
  <si>
    <t>[413-914] 경기 파주시 적성면 장현리 228-1,228-2,228-3,228-5,229-0,230-0,231-0,232-0</t>
  </si>
  <si>
    <t>[413-911] 경기 파주시 적성면 주월리 363-5,363-7,434-0</t>
  </si>
  <si>
    <t>[413-911] 경기 파주시 적성면 구읍리 682-3,680-0,681-0</t>
  </si>
  <si>
    <t>[413-903] 경기 파주시 문산읍 마정리 625-8,625-9,625-10</t>
  </si>
  <si>
    <t>[413-903] 경기 파주시 문산읍 마정리 621-22</t>
  </si>
  <si>
    <t>[413-882] 경기 파주시 파평면 덕천리 469-1,469-3,469-5,469-6</t>
  </si>
  <si>
    <t>[413-882] 경기 파주시 파평면 덕천리 229-2,230-0,230-1,235-0,235-1</t>
  </si>
  <si>
    <t>[413-881] 경기 파주시 파평면 금파리 65-0</t>
  </si>
  <si>
    <t>[413-881] 경기 파주시 파평면 금파리 234-6,234-7</t>
  </si>
  <si>
    <t>[413-871] 경기 파주시 법원읍 동문리 522-0</t>
  </si>
  <si>
    <t>[413-940] 경기 파주시 진동면 하포리 242-0,257-0,258-0</t>
  </si>
  <si>
    <t>[413-940] 경기 파주시 진동면 하포리 1157-0,1226-1</t>
  </si>
  <si>
    <t>[413-940] 경기 파주시 진동면 서곡리 845-0,846-0,847-0</t>
  </si>
  <si>
    <t>[413-940] 경기 파주시 진동면 서곡리 510-0</t>
  </si>
  <si>
    <t>[413-940] 경기 파주시 진동면 동파리 1366-0</t>
  </si>
  <si>
    <t>[413-940] 경기 파주시 진동면 동파리 1044-1,1044-3,1048-0</t>
  </si>
  <si>
    <t>[413-920] 경기 파주시 군내면 점원리 653-0,654-0</t>
  </si>
  <si>
    <t>[413-920] 경기 파주시 군내면 점원리 490-0</t>
  </si>
  <si>
    <t>[413-920] 경기 파주시 군내면 점원리 441-0,442-0,446-0,447-0,448-0</t>
  </si>
  <si>
    <t>[413-920] 경기 파주시 군내면 읍내리 761-0</t>
  </si>
  <si>
    <t>[413-920] 경기 파주시 군내면 읍내리 216-0</t>
  </si>
  <si>
    <t>[413-920] 경기 파주시 군내면 백연리 62-0</t>
  </si>
  <si>
    <t>[413-920] 경기 파주시 군내면 백연리 473-4</t>
  </si>
  <si>
    <t>[413-920] 경기 파주시 군내면 백연리 1026-0,1027-0</t>
  </si>
  <si>
    <t>[413-920] 경기 파주시 군내면 백연리 1020-0</t>
  </si>
  <si>
    <t>[413-914] 경기 파주시 적성면 적암리 40-8,67-1,67-2</t>
  </si>
  <si>
    <t>[413-914] 경기 파주시 적성면 장현리 225-2,225-3</t>
  </si>
  <si>
    <t>[413-914] 경기 파주시 적성면 율포리 338-45,338-46</t>
  </si>
  <si>
    <t>[413-914] 경기 파주시 적성면 율포리 338-282,338-284,335-2,335-3,337-7</t>
  </si>
  <si>
    <t>[413-912] 경기 파주시 적성면 자장리 352-0</t>
  </si>
  <si>
    <t>[413-911] 경기 파주시 적성면 주월리 680-0,689-0</t>
  </si>
  <si>
    <t>[413-911] 경기 파주시 적성면 주월리 1067-0</t>
  </si>
  <si>
    <t>[413-911] 경기 파주시 적성면 구읍리 934-0,935-0,936-0</t>
  </si>
  <si>
    <t>[413-911] 경기 파주시 적성면 구읍리 853-0,855-0</t>
  </si>
  <si>
    <t>[413-911] 경기 파주시 적성면 구읍리 258-0,259-1</t>
  </si>
  <si>
    <t>[413-911] 경기 파주시 적성면 구읍리 105-0,105-2</t>
  </si>
  <si>
    <t>[413-911] 경기 파주시 적성면 가월리 1479-0</t>
  </si>
  <si>
    <t>[413-851] 경기 파주시 광탄면 마장리 191-3</t>
  </si>
  <si>
    <t>[413-930] 경기 파주시 장단면 거곡리 915-0,914-0</t>
  </si>
  <si>
    <t>[413-920] 경기 파주시 군내면 읍내리 356-0</t>
  </si>
  <si>
    <t>[413-920] 경기 파주시 군내면 백연리 399-0</t>
  </si>
  <si>
    <t>[413-881] 경기 파주시 파평면 장파리 127-4</t>
  </si>
  <si>
    <t>[413-872] 경기 파주시 법원읍 직천리 718-4</t>
  </si>
  <si>
    <t>[413-940] 경기 파주시 진동면 하포리 1088-0</t>
  </si>
  <si>
    <t>[413-940] 경기 파주시 진동면 하포리 1068-0,1069-0</t>
  </si>
  <si>
    <t>[413-940] 경기 파주시 진동면 서곡리 412-0,413-0</t>
  </si>
  <si>
    <t>[413-940] 경기 파주시 진동면 동파리 1049-0,1050-0,1051-0,1052-0</t>
  </si>
  <si>
    <t>[413-930] 경기 파주시 장단면 노상리 253-0,258-0,산73-0</t>
  </si>
  <si>
    <t>[413-920] 경기 파주시 군내면 정자리 410-0</t>
  </si>
  <si>
    <t>[413-920] 경기 파주시 군내면 점원리 339-0,340-0</t>
  </si>
  <si>
    <t>[413-920] 경기 파주시 군내면 점원리 259-0,260-0</t>
  </si>
  <si>
    <t>[413-920] 경기 파주시 군내면 읍내리 215-0</t>
  </si>
  <si>
    <t>[413-920] 경기 파주시 군내면 백연리 50-5,50-8</t>
  </si>
  <si>
    <t>[413-920] 경기 파주시 군내면 백연리 1339-0</t>
  </si>
  <si>
    <t>[413-913] 경기 파주시 적성면 마지리 97-0,97-1,325-2</t>
  </si>
  <si>
    <t>[413-913] 경기 파주시 적성면 마지리 371-9</t>
  </si>
  <si>
    <t>[413-913] 경기 파주시 적성면 마지리 366-8</t>
  </si>
  <si>
    <t>[413-911] 경기 파주시 적성면 주월리 1274-0</t>
  </si>
  <si>
    <t>[413-911] 경기 파주시 적성면 주월리 1272-0</t>
  </si>
  <si>
    <t>[413-911] 경기 파주시 적성면 주월리 1188-0,1190-0</t>
  </si>
  <si>
    <t>[413-911] 경기 파주시 적성면 주월리 1096-0,1097-0</t>
  </si>
  <si>
    <t>[413-911] 경기 파주시 적성면 무건리 106-0</t>
  </si>
  <si>
    <t>[413-911] 경기 파주시 적성면 무건리 105-0,116-0</t>
  </si>
  <si>
    <t>[413-911] 경기 파주시 적성면 구읍리 868-0</t>
  </si>
  <si>
    <t>[413-911] 경기 파주시 적성면 가월리 985-0,37-12,38-3,38-11,38-12,38-18,38-16</t>
  </si>
  <si>
    <t>[413-911] 경기 파주시 적성면 가월리 840-0</t>
  </si>
  <si>
    <t>[413-902] 경기 파주시 문산읍 당동리 288-1,288-2</t>
  </si>
  <si>
    <t>[413-852] 경기 파주시 광탄면 발랑리 90-7</t>
  </si>
  <si>
    <t>[413-940] 경기 파주시 진동면 하포리 516-0</t>
  </si>
  <si>
    <t>[413-930] 경기 파주시 장단면 노상리 253-0,258-0,259-0</t>
  </si>
  <si>
    <t>[413-920] 경기 파주시 군내면 점원리 519-0,520-0,523-0,525-1</t>
  </si>
  <si>
    <t>[413-920] 경기 파주시 군내면 점원리 478-0,479-0,481-0,482-0</t>
  </si>
  <si>
    <t>[413-920] 경기 파주시 군내면 점원리 444-0,463-0,468-0,469-0</t>
  </si>
  <si>
    <t>[413-920] 경기 파주시 군내면 점원리 341-0</t>
  </si>
  <si>
    <t>[413-920] 경기 파주시 군내면 읍내리 766-0</t>
  </si>
  <si>
    <t>[413-920] 경기 파주시 군내면 백연리 1554-1,1554-2</t>
  </si>
  <si>
    <t>[413-914] 경기 파주시 적성면 적암리 246-1,248-2,248-3</t>
  </si>
  <si>
    <t>[413-914] 경기 파주시 적성면 적암리 140-21,140-19,148-2,148-4</t>
  </si>
  <si>
    <t>[413-914] 경기 파주시 적성면 장현리 404-11,404-13</t>
  </si>
  <si>
    <t>[413-911] 경기 파주시 적성면 장좌리 630-0</t>
  </si>
  <si>
    <t>[413-911] 경기 파주시 적성면 가월리 924-0,925-0</t>
  </si>
  <si>
    <t>[413-911] 경기 파주시 적성면 가월리 841-0</t>
  </si>
  <si>
    <t>[413-911] 경기 파주시 적성면 가월리 776-0,777-0,778-0</t>
  </si>
  <si>
    <t>[413-911] 경기 파주시 적성면 가월리 774-0,775-0,773-0</t>
  </si>
  <si>
    <t>[413-851] 경기 파주시 광탄면 마장리 379-15,392-16</t>
  </si>
  <si>
    <r>
      <t>파주관내 인삼경작지 내역</t>
    </r>
    <r>
      <rPr>
        <b/>
        <sz val="12"/>
        <color rgb="FF000000"/>
        <rFont val="맑은 고딕"/>
        <family val="3"/>
        <charset val="129"/>
      </rPr>
      <t>(2024 기준)</t>
    </r>
    <phoneticPr fontId="4" type="noConversion"/>
  </si>
  <si>
    <t>40개소</t>
    <phoneticPr fontId="4" type="noConversion"/>
  </si>
  <si>
    <t>6년근</t>
    <phoneticPr fontId="7" type="noConversion"/>
  </si>
  <si>
    <t>5년근</t>
    <phoneticPr fontId="7" type="noConversion"/>
  </si>
  <si>
    <t>4년근</t>
    <phoneticPr fontId="7" type="noConversion"/>
  </si>
  <si>
    <t>3년근</t>
    <phoneticPr fontId="7" type="noConversion"/>
  </si>
  <si>
    <t>6년근 직파 미계약</t>
    <phoneticPr fontId="4" type="noConversion"/>
  </si>
  <si>
    <t>6년근 합계</t>
    <phoneticPr fontId="7" type="noConversion"/>
  </si>
  <si>
    <t>81개소</t>
    <phoneticPr fontId="4" type="noConversion"/>
  </si>
  <si>
    <t>1개소</t>
    <phoneticPr fontId="7" type="noConversion"/>
  </si>
  <si>
    <t>2개소</t>
    <phoneticPr fontId="7" type="noConversion"/>
  </si>
  <si>
    <t>5년근 조합계약</t>
    <phoneticPr fontId="7" type="noConversion"/>
  </si>
  <si>
    <t>5년근 직파 조합계약</t>
    <phoneticPr fontId="7" type="noConversion"/>
  </si>
  <si>
    <t>5년근 미계약</t>
    <phoneticPr fontId="7" type="noConversion"/>
  </si>
  <si>
    <t>5년근 직파 미계약</t>
    <phoneticPr fontId="7" type="noConversion"/>
  </si>
  <si>
    <t>5년근 합계</t>
    <phoneticPr fontId="7" type="noConversion"/>
  </si>
  <si>
    <t>51개소</t>
    <phoneticPr fontId="4" type="noConversion"/>
  </si>
  <si>
    <t>23개소</t>
    <phoneticPr fontId="4" type="noConversion"/>
  </si>
  <si>
    <t>24개소</t>
    <phoneticPr fontId="7" type="noConversion"/>
  </si>
  <si>
    <t>18개소</t>
    <phoneticPr fontId="4" type="noConversion"/>
  </si>
  <si>
    <t>4년근 미계약</t>
    <phoneticPr fontId="7" type="noConversion"/>
  </si>
  <si>
    <t>53개소</t>
    <phoneticPr fontId="4" type="noConversion"/>
  </si>
  <si>
    <t>4년근 합계</t>
    <phoneticPr fontId="7" type="noConversion"/>
  </si>
  <si>
    <t>3년근 합계</t>
    <phoneticPr fontId="7" type="noConversion"/>
  </si>
  <si>
    <t>총 합계</t>
    <phoneticPr fontId="4" type="noConversion"/>
  </si>
  <si>
    <t>206개소</t>
    <phoneticPr fontId="4" type="noConversion"/>
  </si>
  <si>
    <t>45개소</t>
    <phoneticPr fontId="4" type="noConversion"/>
  </si>
  <si>
    <t>230개소</t>
    <phoneticPr fontId="4" type="noConversion"/>
  </si>
  <si>
    <r>
      <t>파주관내 인삼경작지 내역</t>
    </r>
    <r>
      <rPr>
        <b/>
        <sz val="12"/>
        <color rgb="FF000000"/>
        <rFont val="맑은 고딕"/>
        <family val="3"/>
        <charset val="129"/>
      </rPr>
      <t>(2026.7월 기준)</t>
    </r>
    <phoneticPr fontId="4" type="noConversion"/>
  </si>
  <si>
    <t>경기 파주시 적성면 율포리 산112-0</t>
  </si>
  <si>
    <t>경기 파주시 장단면 노상리 202-0</t>
  </si>
  <si>
    <t>경기 파주시 군내면 백연리 42-1</t>
  </si>
  <si>
    <t>경기 파주시 군내면 읍내리 184-1,184</t>
  </si>
  <si>
    <t>경기 파주시 군내면 점원리 1177-1,1177</t>
  </si>
  <si>
    <t>경기 파주시 문산읍 마정리 1479</t>
  </si>
  <si>
    <t>경기 파주시 문산읍 장산리 116-4</t>
  </si>
  <si>
    <t>경기 파주시 문산읍 장산리 365</t>
  </si>
  <si>
    <t>경기 파주시 장단면 거곡리 511,510</t>
  </si>
  <si>
    <t>경기 파주시 장단면 거곡리 522,521</t>
  </si>
  <si>
    <t>경기 파주시 적성면 가월리 1047</t>
  </si>
  <si>
    <t>경기 파주시 적성면 가월리 1065</t>
  </si>
  <si>
    <t>경기 파주시 적성면 어유지리 75-4,75-8,75-9,75-10,75-41,75-47,76-3</t>
  </si>
  <si>
    <t>경기 파주시 적성면 장현리 502</t>
  </si>
  <si>
    <t>경기 파주시 진동면 동파리 1252</t>
  </si>
  <si>
    <t>경기 파주시 진동면 서곡리 486,474,475</t>
  </si>
  <si>
    <t>경기 파주시 진동면 용산리 259,258</t>
  </si>
  <si>
    <t>경기 파주시 군내면 백연리 50-2</t>
  </si>
  <si>
    <t>경기 파주시 장단면 거곡리 521</t>
  </si>
  <si>
    <t>경기 파주시 적성면 자장리 936</t>
  </si>
  <si>
    <t>경기 파주시 적성면 장현리 502-1,502</t>
  </si>
  <si>
    <t>경기 파주시 군내면 방목리 218,216,217</t>
  </si>
  <si>
    <t>경기 파주시 군내면 점원리 1182,1177</t>
  </si>
  <si>
    <t>경기 파주시 군내면 정자리 586</t>
  </si>
  <si>
    <t>경기 파주시 장단면 거곡리 543,544,545</t>
  </si>
  <si>
    <t>경기 파주시 장단면 노상리 314,313</t>
  </si>
  <si>
    <t>경기 파주시 적성면 가월리 1547,1548,1549</t>
  </si>
  <si>
    <t>경기 파주시 적성면 구읍리 828-1</t>
  </si>
  <si>
    <t>경기 파주시 적성면 장좌리 212-3</t>
  </si>
  <si>
    <t>경기 파주시 적성면 주월리 870,869</t>
  </si>
  <si>
    <t>경기 파주시 진동면 서곡리 485</t>
  </si>
  <si>
    <t>경기 파주시 진동면 서곡리 869</t>
  </si>
  <si>
    <t>경기 파주시 적성면 가월리 106-6</t>
  </si>
  <si>
    <t>경기 파주시 적성면 가월리 842-7</t>
  </si>
  <si>
    <t>15개소</t>
    <phoneticPr fontId="4" type="noConversion"/>
  </si>
  <si>
    <t>6개소</t>
    <phoneticPr fontId="4" type="noConversion"/>
  </si>
  <si>
    <t>농협</t>
    <phoneticPr fontId="4" type="noConversion"/>
  </si>
  <si>
    <t>6년근 농협계약</t>
    <phoneticPr fontId="4" type="noConversion"/>
  </si>
  <si>
    <t>32개소</t>
    <phoneticPr fontId="4" type="noConversion"/>
  </si>
  <si>
    <t>46개소</t>
    <phoneticPr fontId="4" type="noConversion"/>
  </si>
  <si>
    <t>34개소</t>
    <phoneticPr fontId="4" type="noConversion"/>
  </si>
  <si>
    <t>37개소</t>
    <phoneticPr fontId="4" type="noConversion"/>
  </si>
  <si>
    <t>묘삼</t>
    <phoneticPr fontId="4" type="noConversion"/>
  </si>
  <si>
    <t>묘삼 미계약</t>
    <phoneticPr fontId="4" type="noConversion"/>
  </si>
  <si>
    <t>2개소</t>
    <phoneticPr fontId="4" type="noConversion"/>
  </si>
  <si>
    <t>묘삼 합계</t>
    <phoneticPr fontId="4" type="noConversion"/>
  </si>
  <si>
    <t>205개소</t>
    <phoneticPr fontId="4" type="noConversion"/>
  </si>
  <si>
    <t>직파</t>
    <phoneticPr fontId="4" type="noConversion"/>
  </si>
  <si>
    <r>
      <t>파주관내 인삼경작지 내역</t>
    </r>
    <r>
      <rPr>
        <b/>
        <sz val="12"/>
        <color rgb="FF000000"/>
        <rFont val="맑은고딕"/>
        <family val="3"/>
      </rPr>
      <t>(2025</t>
    </r>
    <r>
      <rPr>
        <b/>
        <sz val="12"/>
        <color rgb="FF000000"/>
        <rFont val="굴림체"/>
        <family val="3"/>
        <charset val="129"/>
      </rPr>
      <t xml:space="preserve"> 기준)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</si>
</sst>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scheme val="minor"/>
    </font>
    <font>
      <b/>
      <sz val="12"/>
      <color rgb="FF000000"/>
      <name val="맑은고딕"/>
      <family val="3"/>
      <charset val="129"/>
    </font>
    <font>
      <sz val="9"/>
      <color rgb="FF000000"/>
      <name val="굴림체"/>
      <family val="3"/>
      <charset val="129"/>
    </font>
    <font>
      <sz val="9"/>
      <color rgb="FF333333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2"/>
      <color rgb="FF000000"/>
      <name val="맑은고딕"/>
      <family val="3"/>
    </font>
  </fonts>
  <fills count="9">
    <fill>
      <patternFill patternType="none"/>
    </fill>
    <fill>
      <patternFill patternType="gray125"/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DDDFE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>
      <alignment vertical="center"/>
    </xf>
  </cellStyleXfs>
  <cellXfs count="79">
    <xf numFmtId="0" fontId="0" fillId="0" borderId="0" xfId="0"/>
    <xf numFmtId="49" fontId="0" fillId="0" borderId="0" xfId="0" applyNumberFormat="1"/>
    <xf numFmtId="3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/>
    </xf>
    <xf numFmtId="0" fontId="9" fillId="0" borderId="2" xfId="0" quotePrefix="1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left" vertical="center" shrinkToFit="1"/>
    </xf>
    <xf numFmtId="0" fontId="9" fillId="0" borderId="2" xfId="0" applyFont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center" vertical="center"/>
    </xf>
    <xf numFmtId="0" fontId="9" fillId="5" borderId="2" xfId="0" quotePrefix="1" applyFont="1" applyFill="1" applyBorder="1" applyAlignment="1">
      <alignment horizontal="center" vertical="center"/>
    </xf>
    <xf numFmtId="0" fontId="9" fillId="5" borderId="2" xfId="0" quotePrefix="1" applyFont="1" applyFill="1" applyBorder="1" applyAlignment="1">
      <alignment vertical="center"/>
    </xf>
    <xf numFmtId="0" fontId="9" fillId="5" borderId="2" xfId="0" quotePrefix="1" applyFont="1" applyFill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right" vertical="center"/>
    </xf>
    <xf numFmtId="0" fontId="9" fillId="0" borderId="2" xfId="0" quotePrefix="1" applyFont="1" applyBorder="1" applyAlignment="1">
      <alignment horizontal="center" vertical="center"/>
    </xf>
    <xf numFmtId="0" fontId="9" fillId="5" borderId="2" xfId="0" quotePrefix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3" fontId="9" fillId="5" borderId="2" xfId="0" applyNumberFormat="1" applyFont="1" applyFill="1" applyBorder="1"/>
    <xf numFmtId="49" fontId="9" fillId="5" borderId="2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3" fontId="9" fillId="6" borderId="2" xfId="0" applyNumberFormat="1" applyFont="1" applyFill="1" applyBorder="1"/>
    <xf numFmtId="49" fontId="9" fillId="6" borderId="2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right" vertical="center"/>
    </xf>
    <xf numFmtId="49" fontId="2" fillId="6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3" fontId="9" fillId="7" borderId="2" xfId="0" applyNumberFormat="1" applyFont="1" applyFill="1" applyBorder="1"/>
    <xf numFmtId="49" fontId="9" fillId="7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quotePrefix="1" applyFont="1" applyFill="1" applyBorder="1" applyAlignment="1">
      <alignment horizontal="center" vertical="center" shrinkToFit="1"/>
    </xf>
    <xf numFmtId="0" fontId="9" fillId="5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41" fontId="10" fillId="7" borderId="2" xfId="1" applyFont="1" applyFill="1" applyBorder="1">
      <alignment vertical="center"/>
    </xf>
    <xf numFmtId="0" fontId="9" fillId="5" borderId="2" xfId="0" applyFont="1" applyFill="1" applyBorder="1" applyAlignment="1">
      <alignment horizontal="center" vertical="center" shrinkToFit="1"/>
    </xf>
    <xf numFmtId="0" fontId="9" fillId="6" borderId="2" xfId="0" applyFont="1" applyFill="1" applyBorder="1" applyAlignment="1">
      <alignment horizontal="center" vertical="center" shrinkToFit="1"/>
    </xf>
    <xf numFmtId="0" fontId="9" fillId="7" borderId="2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3" fontId="2" fillId="5" borderId="2" xfId="0" applyNumberFormat="1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3" fontId="2" fillId="6" borderId="8" xfId="0" applyNumberFormat="1" applyFont="1" applyFill="1" applyBorder="1" applyAlignment="1">
      <alignment horizontal="right" vertical="center"/>
    </xf>
    <xf numFmtId="49" fontId="2" fillId="6" borderId="8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vertical="center"/>
    </xf>
    <xf numFmtId="49" fontId="11" fillId="6" borderId="2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EC7-B467-46C0-BCF4-E1F30F0889F7}">
  <dimension ref="A1:I228"/>
  <sheetViews>
    <sheetView tabSelected="1" zoomScale="75" zoomScaleNormal="75" workbookViewId="0">
      <selection activeCell="I26" sqref="I26"/>
    </sheetView>
  </sheetViews>
  <sheetFormatPr defaultRowHeight="16.5"/>
  <cols>
    <col min="3" max="3" width="5.75" style="6" customWidth="1"/>
    <col min="4" max="4" width="9.25" style="6" customWidth="1"/>
    <col min="5" max="5" width="7.125" style="6" customWidth="1"/>
    <col min="6" max="6" width="17.125" style="6" customWidth="1"/>
    <col min="7" max="7" width="14.25" customWidth="1"/>
    <col min="8" max="8" width="12.5" customWidth="1"/>
    <col min="9" max="9" width="45.625" customWidth="1"/>
  </cols>
  <sheetData>
    <row r="1" spans="1:9" ht="17.25">
      <c r="A1" s="5" t="s">
        <v>510</v>
      </c>
      <c r="B1" s="5"/>
      <c r="C1" s="5"/>
      <c r="D1" s="5"/>
      <c r="E1" s="5"/>
      <c r="F1" s="5"/>
      <c r="G1" s="5"/>
      <c r="H1" s="5"/>
      <c r="I1" s="5"/>
    </row>
    <row r="2" spans="1:9">
      <c r="A2" s="7" t="s">
        <v>256</v>
      </c>
      <c r="B2" s="7" t="s">
        <v>265</v>
      </c>
      <c r="C2" s="7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9" t="s">
        <v>264</v>
      </c>
      <c r="I2" s="28" t="s">
        <v>5</v>
      </c>
    </row>
    <row r="3" spans="1:9">
      <c r="A3" s="58" t="s">
        <v>255</v>
      </c>
      <c r="B3" s="58" t="s">
        <v>257</v>
      </c>
      <c r="C3" s="12">
        <v>1</v>
      </c>
      <c r="D3" s="31"/>
      <c r="E3" s="31" t="s">
        <v>6</v>
      </c>
      <c r="F3" s="31" t="s">
        <v>9</v>
      </c>
      <c r="G3" s="54">
        <v>2021</v>
      </c>
      <c r="H3" s="56">
        <v>2270</v>
      </c>
      <c r="I3" s="55" t="s">
        <v>39</v>
      </c>
    </row>
    <row r="4" spans="1:9">
      <c r="A4" s="59"/>
      <c r="B4" s="59"/>
      <c r="C4" s="12">
        <v>2</v>
      </c>
      <c r="D4" s="31"/>
      <c r="E4" s="31" t="s">
        <v>6</v>
      </c>
      <c r="F4" s="31" t="s">
        <v>9</v>
      </c>
      <c r="G4" s="54">
        <v>2021</v>
      </c>
      <c r="H4" s="56">
        <v>6940</v>
      </c>
      <c r="I4" s="55" t="s">
        <v>64</v>
      </c>
    </row>
    <row r="5" spans="1:9">
      <c r="A5" s="59"/>
      <c r="B5" s="59"/>
      <c r="C5" s="12">
        <v>3</v>
      </c>
      <c r="D5" s="31"/>
      <c r="E5" s="31" t="s">
        <v>6</v>
      </c>
      <c r="F5" s="31" t="s">
        <v>9</v>
      </c>
      <c r="G5" s="54">
        <v>2021</v>
      </c>
      <c r="H5" s="56">
        <v>5830</v>
      </c>
      <c r="I5" s="55" t="s">
        <v>73</v>
      </c>
    </row>
    <row r="6" spans="1:9">
      <c r="A6" s="59"/>
      <c r="B6" s="59"/>
      <c r="C6" s="12">
        <v>4</v>
      </c>
      <c r="D6" s="31"/>
      <c r="E6" s="31" t="s">
        <v>6</v>
      </c>
      <c r="F6" s="31" t="s">
        <v>9</v>
      </c>
      <c r="G6" s="54">
        <v>2021</v>
      </c>
      <c r="H6" s="56">
        <v>3530</v>
      </c>
      <c r="I6" s="55" t="s">
        <v>78</v>
      </c>
    </row>
    <row r="7" spans="1:9">
      <c r="A7" s="59"/>
      <c r="B7" s="59"/>
      <c r="C7" s="12">
        <v>5</v>
      </c>
      <c r="D7" s="31"/>
      <c r="E7" s="31" t="s">
        <v>6</v>
      </c>
      <c r="F7" s="31" t="s">
        <v>9</v>
      </c>
      <c r="G7" s="54">
        <v>2021</v>
      </c>
      <c r="H7" s="56">
        <v>2980</v>
      </c>
      <c r="I7" s="55" t="s">
        <v>115</v>
      </c>
    </row>
    <row r="8" spans="1:9">
      <c r="A8" s="59"/>
      <c r="B8" s="59"/>
      <c r="C8" s="12">
        <v>6</v>
      </c>
      <c r="D8" s="31"/>
      <c r="E8" s="31" t="s">
        <v>6</v>
      </c>
      <c r="F8" s="31" t="s">
        <v>9</v>
      </c>
      <c r="G8" s="54">
        <v>2021</v>
      </c>
      <c r="H8" s="56">
        <v>8860</v>
      </c>
      <c r="I8" s="55" t="s">
        <v>141</v>
      </c>
    </row>
    <row r="9" spans="1:9">
      <c r="A9" s="59"/>
      <c r="B9" s="59"/>
      <c r="C9" s="12">
        <v>7</v>
      </c>
      <c r="D9" s="31"/>
      <c r="E9" s="31" t="s">
        <v>6</v>
      </c>
      <c r="F9" s="31" t="s">
        <v>9</v>
      </c>
      <c r="G9" s="54">
        <v>2021</v>
      </c>
      <c r="H9" s="56">
        <v>4750</v>
      </c>
      <c r="I9" s="55" t="s">
        <v>157</v>
      </c>
    </row>
    <row r="10" spans="1:9">
      <c r="A10" s="59"/>
      <c r="B10" s="59"/>
      <c r="C10" s="12">
        <v>8</v>
      </c>
      <c r="D10" s="31"/>
      <c r="E10" s="31" t="s">
        <v>6</v>
      </c>
      <c r="F10" s="31" t="s">
        <v>9</v>
      </c>
      <c r="G10" s="54">
        <v>2021</v>
      </c>
      <c r="H10" s="56">
        <v>7950</v>
      </c>
      <c r="I10" s="55" t="s">
        <v>172</v>
      </c>
    </row>
    <row r="11" spans="1:9">
      <c r="A11" s="59"/>
      <c r="B11" s="59"/>
      <c r="C11" s="12">
        <v>9</v>
      </c>
      <c r="D11" s="31"/>
      <c r="E11" s="31" t="s">
        <v>6</v>
      </c>
      <c r="F11" s="31" t="s">
        <v>9</v>
      </c>
      <c r="G11" s="54">
        <v>2021</v>
      </c>
      <c r="H11" s="56">
        <v>5420</v>
      </c>
      <c r="I11" s="55" t="s">
        <v>186</v>
      </c>
    </row>
    <row r="12" spans="1:9">
      <c r="A12" s="59"/>
      <c r="B12" s="59"/>
      <c r="C12" s="12">
        <v>10</v>
      </c>
      <c r="D12" s="31"/>
      <c r="E12" s="31" t="s">
        <v>6</v>
      </c>
      <c r="F12" s="31" t="s">
        <v>9</v>
      </c>
      <c r="G12" s="54">
        <v>2021</v>
      </c>
      <c r="H12" s="56">
        <v>6150</v>
      </c>
      <c r="I12" s="55" t="s">
        <v>188</v>
      </c>
    </row>
    <row r="13" spans="1:9">
      <c r="A13" s="59"/>
      <c r="B13" s="59"/>
      <c r="C13" s="12">
        <v>11</v>
      </c>
      <c r="D13" s="31"/>
      <c r="E13" s="31" t="s">
        <v>6</v>
      </c>
      <c r="F13" s="31" t="s">
        <v>9</v>
      </c>
      <c r="G13" s="54">
        <v>2021</v>
      </c>
      <c r="H13" s="56">
        <v>3670</v>
      </c>
      <c r="I13" s="55" t="s">
        <v>199</v>
      </c>
    </row>
    <row r="14" spans="1:9">
      <c r="A14" s="59"/>
      <c r="B14" s="59"/>
      <c r="C14" s="12">
        <v>12</v>
      </c>
      <c r="D14" s="31"/>
      <c r="E14" s="31" t="s">
        <v>6</v>
      </c>
      <c r="F14" s="31" t="s">
        <v>9</v>
      </c>
      <c r="G14" s="54">
        <v>2021</v>
      </c>
      <c r="H14" s="56">
        <v>6280</v>
      </c>
      <c r="I14" s="55" t="s">
        <v>207</v>
      </c>
    </row>
    <row r="15" spans="1:9">
      <c r="A15" s="59"/>
      <c r="B15" s="59"/>
      <c r="C15" s="12">
        <v>13</v>
      </c>
      <c r="D15" s="31"/>
      <c r="E15" s="31" t="s">
        <v>6</v>
      </c>
      <c r="F15" s="31" t="s">
        <v>9</v>
      </c>
      <c r="G15" s="54">
        <v>2021</v>
      </c>
      <c r="H15" s="56">
        <v>4530</v>
      </c>
      <c r="I15" s="55" t="s">
        <v>208</v>
      </c>
    </row>
    <row r="16" spans="1:9">
      <c r="A16" s="59"/>
      <c r="B16" s="59"/>
      <c r="C16" s="12">
        <v>14</v>
      </c>
      <c r="D16" s="31"/>
      <c r="E16" s="31" t="s">
        <v>6</v>
      </c>
      <c r="F16" s="31" t="s">
        <v>9</v>
      </c>
      <c r="G16" s="54">
        <v>2021</v>
      </c>
      <c r="H16" s="56">
        <v>13810</v>
      </c>
      <c r="I16" s="55" t="s">
        <v>211</v>
      </c>
    </row>
    <row r="17" spans="1:9">
      <c r="A17" s="59"/>
      <c r="B17" s="59"/>
      <c r="C17" s="12">
        <v>15</v>
      </c>
      <c r="D17" s="31"/>
      <c r="E17" s="31" t="s">
        <v>6</v>
      </c>
      <c r="F17" s="31" t="s">
        <v>9</v>
      </c>
      <c r="G17" s="54">
        <v>2021</v>
      </c>
      <c r="H17" s="56">
        <v>5220</v>
      </c>
      <c r="I17" s="55" t="s">
        <v>212</v>
      </c>
    </row>
    <row r="18" spans="1:9">
      <c r="A18" s="59"/>
      <c r="B18" s="60"/>
      <c r="C18" s="17" t="s">
        <v>216</v>
      </c>
      <c r="D18" s="17"/>
      <c r="E18" s="17"/>
      <c r="F18" s="17"/>
      <c r="G18" s="17"/>
      <c r="H18" s="57">
        <f>SUM(H3:H17)</f>
        <v>88190</v>
      </c>
      <c r="I18" s="34" t="s">
        <v>545</v>
      </c>
    </row>
    <row r="19" spans="1:9">
      <c r="A19" s="59"/>
      <c r="B19" s="58" t="s">
        <v>258</v>
      </c>
      <c r="C19" s="12">
        <v>1</v>
      </c>
      <c r="D19" s="31"/>
      <c r="E19" s="31" t="s">
        <v>6</v>
      </c>
      <c r="F19" s="31" t="s">
        <v>7</v>
      </c>
      <c r="G19" s="54">
        <v>2021</v>
      </c>
      <c r="H19" s="56">
        <v>1370</v>
      </c>
      <c r="I19" s="55" t="s">
        <v>27</v>
      </c>
    </row>
    <row r="20" spans="1:9">
      <c r="A20" s="59"/>
      <c r="B20" s="59"/>
      <c r="C20" s="12">
        <v>2</v>
      </c>
      <c r="D20" s="31"/>
      <c r="E20" s="31" t="s">
        <v>6</v>
      </c>
      <c r="F20" s="31" t="s">
        <v>7</v>
      </c>
      <c r="G20" s="54">
        <v>2021</v>
      </c>
      <c r="H20" s="56">
        <v>1580</v>
      </c>
      <c r="I20" s="55" t="s">
        <v>40</v>
      </c>
    </row>
    <row r="21" spans="1:9">
      <c r="A21" s="59"/>
      <c r="B21" s="59"/>
      <c r="C21" s="12">
        <v>3</v>
      </c>
      <c r="D21" s="31"/>
      <c r="E21" s="31" t="s">
        <v>6</v>
      </c>
      <c r="F21" s="31" t="s">
        <v>7</v>
      </c>
      <c r="G21" s="54">
        <v>2021</v>
      </c>
      <c r="H21" s="56">
        <v>1080</v>
      </c>
      <c r="I21" s="55" t="s">
        <v>79</v>
      </c>
    </row>
    <row r="22" spans="1:9">
      <c r="A22" s="59"/>
      <c r="B22" s="59"/>
      <c r="C22" s="12">
        <v>4</v>
      </c>
      <c r="D22" s="31"/>
      <c r="E22" s="31" t="s">
        <v>6</v>
      </c>
      <c r="F22" s="31" t="s">
        <v>7</v>
      </c>
      <c r="G22" s="54">
        <v>2021</v>
      </c>
      <c r="H22" s="56">
        <v>2780</v>
      </c>
      <c r="I22" s="55" t="s">
        <v>80</v>
      </c>
    </row>
    <row r="23" spans="1:9">
      <c r="A23" s="59"/>
      <c r="B23" s="59"/>
      <c r="C23" s="12">
        <v>5</v>
      </c>
      <c r="D23" s="31"/>
      <c r="E23" s="31" t="s">
        <v>6</v>
      </c>
      <c r="F23" s="31" t="s">
        <v>7</v>
      </c>
      <c r="G23" s="54">
        <v>2021</v>
      </c>
      <c r="H23" s="56">
        <v>1200</v>
      </c>
      <c r="I23" s="55" t="s">
        <v>511</v>
      </c>
    </row>
    <row r="24" spans="1:9">
      <c r="A24" s="59"/>
      <c r="B24" s="59"/>
      <c r="C24" s="12">
        <v>6</v>
      </c>
      <c r="D24" s="31"/>
      <c r="E24" s="31" t="s">
        <v>6</v>
      </c>
      <c r="F24" s="31" t="s">
        <v>7</v>
      </c>
      <c r="G24" s="54">
        <v>2021</v>
      </c>
      <c r="H24" s="56">
        <v>980</v>
      </c>
      <c r="I24" s="55" t="s">
        <v>213</v>
      </c>
    </row>
    <row r="25" spans="1:9">
      <c r="A25" s="59"/>
      <c r="B25" s="60"/>
      <c r="C25" s="17" t="s">
        <v>217</v>
      </c>
      <c r="D25" s="17"/>
      <c r="E25" s="17"/>
      <c r="F25" s="17"/>
      <c r="G25" s="17"/>
      <c r="H25" s="57">
        <f>SUM(H19:H24)</f>
        <v>8990</v>
      </c>
      <c r="I25" s="34" t="s">
        <v>546</v>
      </c>
    </row>
    <row r="26" spans="1:9">
      <c r="A26" s="59"/>
      <c r="B26" s="58" t="s">
        <v>547</v>
      </c>
      <c r="C26" s="12">
        <v>1</v>
      </c>
      <c r="D26" s="31"/>
      <c r="E26" s="31" t="s">
        <v>6</v>
      </c>
      <c r="F26" s="31" t="s">
        <v>8</v>
      </c>
      <c r="G26" s="54">
        <v>2021</v>
      </c>
      <c r="H26" s="56">
        <v>3640</v>
      </c>
      <c r="I26" s="55" t="s">
        <v>11</v>
      </c>
    </row>
    <row r="27" spans="1:9">
      <c r="A27" s="59"/>
      <c r="B27" s="59"/>
      <c r="C27" s="12">
        <v>2</v>
      </c>
      <c r="D27" s="31"/>
      <c r="E27" s="31" t="s">
        <v>6</v>
      </c>
      <c r="F27" s="31" t="s">
        <v>8</v>
      </c>
      <c r="G27" s="54">
        <v>2021</v>
      </c>
      <c r="H27" s="56">
        <v>2910</v>
      </c>
      <c r="I27" s="55" t="s">
        <v>20</v>
      </c>
    </row>
    <row r="28" spans="1:9">
      <c r="A28" s="59"/>
      <c r="B28" s="59"/>
      <c r="C28" s="12">
        <v>3</v>
      </c>
      <c r="D28" s="31"/>
      <c r="E28" s="31" t="s">
        <v>6</v>
      </c>
      <c r="F28" s="31" t="s">
        <v>8</v>
      </c>
      <c r="G28" s="54">
        <v>2021</v>
      </c>
      <c r="H28" s="56">
        <v>7090</v>
      </c>
      <c r="I28" s="55" t="s">
        <v>21</v>
      </c>
    </row>
    <row r="29" spans="1:9">
      <c r="A29" s="59"/>
      <c r="B29" s="59"/>
      <c r="C29" s="12">
        <v>4</v>
      </c>
      <c r="D29" s="31"/>
      <c r="E29" s="31" t="s">
        <v>6</v>
      </c>
      <c r="F29" s="31" t="s">
        <v>8</v>
      </c>
      <c r="G29" s="54">
        <v>2021</v>
      </c>
      <c r="H29" s="56">
        <v>3150</v>
      </c>
      <c r="I29" s="55" t="s">
        <v>28</v>
      </c>
    </row>
    <row r="30" spans="1:9">
      <c r="A30" s="59"/>
      <c r="B30" s="59"/>
      <c r="C30" s="12">
        <v>5</v>
      </c>
      <c r="D30" s="31"/>
      <c r="E30" s="31" t="s">
        <v>6</v>
      </c>
      <c r="F30" s="31" t="s">
        <v>8</v>
      </c>
      <c r="G30" s="54">
        <v>2021</v>
      </c>
      <c r="H30" s="56">
        <v>2670</v>
      </c>
      <c r="I30" s="55" t="s">
        <v>31</v>
      </c>
    </row>
    <row r="31" spans="1:9">
      <c r="A31" s="59"/>
      <c r="B31" s="59"/>
      <c r="C31" s="12">
        <v>6</v>
      </c>
      <c r="D31" s="31"/>
      <c r="E31" s="31" t="s">
        <v>6</v>
      </c>
      <c r="F31" s="31" t="s">
        <v>8</v>
      </c>
      <c r="G31" s="54">
        <v>2021</v>
      </c>
      <c r="H31" s="56">
        <v>2830</v>
      </c>
      <c r="I31" s="55" t="s">
        <v>37</v>
      </c>
    </row>
    <row r="32" spans="1:9">
      <c r="A32" s="59"/>
      <c r="B32" s="59"/>
      <c r="C32" s="12">
        <v>7</v>
      </c>
      <c r="D32" s="31"/>
      <c r="E32" s="31" t="s">
        <v>6</v>
      </c>
      <c r="F32" s="31" t="s">
        <v>8</v>
      </c>
      <c r="G32" s="54">
        <v>2021</v>
      </c>
      <c r="H32" s="56">
        <v>1670</v>
      </c>
      <c r="I32" s="55" t="s">
        <v>37</v>
      </c>
    </row>
    <row r="33" spans="1:9">
      <c r="A33" s="59"/>
      <c r="B33" s="59"/>
      <c r="C33" s="12">
        <v>8</v>
      </c>
      <c r="D33" s="31"/>
      <c r="E33" s="31" t="s">
        <v>6</v>
      </c>
      <c r="F33" s="31" t="s">
        <v>8</v>
      </c>
      <c r="G33" s="54">
        <v>2021</v>
      </c>
      <c r="H33" s="56">
        <v>2540</v>
      </c>
      <c r="I33" s="55" t="s">
        <v>41</v>
      </c>
    </row>
    <row r="34" spans="1:9">
      <c r="A34" s="59"/>
      <c r="B34" s="59"/>
      <c r="C34" s="12">
        <v>9</v>
      </c>
      <c r="D34" s="31"/>
      <c r="E34" s="31" t="s">
        <v>6</v>
      </c>
      <c r="F34" s="31" t="s">
        <v>8</v>
      </c>
      <c r="G34" s="54">
        <v>2021</v>
      </c>
      <c r="H34" s="56">
        <v>3320</v>
      </c>
      <c r="I34" s="55" t="s">
        <v>58</v>
      </c>
    </row>
    <row r="35" spans="1:9">
      <c r="A35" s="59"/>
      <c r="B35" s="59"/>
      <c r="C35" s="12">
        <v>10</v>
      </c>
      <c r="D35" s="31"/>
      <c r="E35" s="31" t="s">
        <v>6</v>
      </c>
      <c r="F35" s="31" t="s">
        <v>8</v>
      </c>
      <c r="G35" s="54">
        <v>2021</v>
      </c>
      <c r="H35" s="56">
        <v>3230</v>
      </c>
      <c r="I35" s="55" t="s">
        <v>61</v>
      </c>
    </row>
    <row r="36" spans="1:9">
      <c r="A36" s="59"/>
      <c r="B36" s="59"/>
      <c r="C36" s="12">
        <v>11</v>
      </c>
      <c r="D36" s="31"/>
      <c r="E36" s="31" t="s">
        <v>6</v>
      </c>
      <c r="F36" s="31" t="s">
        <v>8</v>
      </c>
      <c r="G36" s="54">
        <v>2021</v>
      </c>
      <c r="H36" s="56">
        <v>3010</v>
      </c>
      <c r="I36" s="55" t="s">
        <v>63</v>
      </c>
    </row>
    <row r="37" spans="1:9">
      <c r="A37" s="59"/>
      <c r="B37" s="59"/>
      <c r="C37" s="12">
        <v>12</v>
      </c>
      <c r="D37" s="31"/>
      <c r="E37" s="31" t="s">
        <v>6</v>
      </c>
      <c r="F37" s="31" t="s">
        <v>8</v>
      </c>
      <c r="G37" s="54">
        <v>2021</v>
      </c>
      <c r="H37" s="56">
        <v>2580</v>
      </c>
      <c r="I37" s="55" t="s">
        <v>95</v>
      </c>
    </row>
    <row r="38" spans="1:9">
      <c r="A38" s="59"/>
      <c r="B38" s="59"/>
      <c r="C38" s="12">
        <v>13</v>
      </c>
      <c r="D38" s="31"/>
      <c r="E38" s="31" t="s">
        <v>6</v>
      </c>
      <c r="F38" s="31" t="s">
        <v>8</v>
      </c>
      <c r="G38" s="54">
        <v>2021</v>
      </c>
      <c r="H38" s="56">
        <v>1890</v>
      </c>
      <c r="I38" s="55" t="s">
        <v>112</v>
      </c>
    </row>
    <row r="39" spans="1:9">
      <c r="A39" s="59"/>
      <c r="B39" s="59"/>
      <c r="C39" s="12">
        <v>14</v>
      </c>
      <c r="D39" s="31"/>
      <c r="E39" s="31" t="s">
        <v>6</v>
      </c>
      <c r="F39" s="31" t="s">
        <v>8</v>
      </c>
      <c r="G39" s="54">
        <v>2021</v>
      </c>
      <c r="H39" s="56">
        <v>1330</v>
      </c>
      <c r="I39" s="55" t="s">
        <v>113</v>
      </c>
    </row>
    <row r="40" spans="1:9">
      <c r="A40" s="59"/>
      <c r="B40" s="59"/>
      <c r="C40" s="12">
        <v>15</v>
      </c>
      <c r="D40" s="31"/>
      <c r="E40" s="31" t="s">
        <v>6</v>
      </c>
      <c r="F40" s="31" t="s">
        <v>8</v>
      </c>
      <c r="G40" s="54">
        <v>2021</v>
      </c>
      <c r="H40" s="56">
        <v>2410</v>
      </c>
      <c r="I40" s="55" t="s">
        <v>113</v>
      </c>
    </row>
    <row r="41" spans="1:9">
      <c r="A41" s="59"/>
      <c r="B41" s="59"/>
      <c r="C41" s="12">
        <v>16</v>
      </c>
      <c r="D41" s="31"/>
      <c r="E41" s="31" t="s">
        <v>6</v>
      </c>
      <c r="F41" s="31" t="s">
        <v>8</v>
      </c>
      <c r="G41" s="54">
        <v>2021</v>
      </c>
      <c r="H41" s="56">
        <v>3180</v>
      </c>
      <c r="I41" s="55" t="s">
        <v>117</v>
      </c>
    </row>
    <row r="42" spans="1:9">
      <c r="A42" s="59"/>
      <c r="B42" s="59"/>
      <c r="C42" s="12">
        <v>17</v>
      </c>
      <c r="D42" s="31"/>
      <c r="E42" s="31" t="s">
        <v>6</v>
      </c>
      <c r="F42" s="31" t="s">
        <v>8</v>
      </c>
      <c r="G42" s="54">
        <v>2021</v>
      </c>
      <c r="H42" s="56">
        <v>3340</v>
      </c>
      <c r="I42" s="55" t="s">
        <v>120</v>
      </c>
    </row>
    <row r="43" spans="1:9">
      <c r="A43" s="59"/>
      <c r="B43" s="59"/>
      <c r="C43" s="12">
        <v>18</v>
      </c>
      <c r="D43" s="31"/>
      <c r="E43" s="31" t="s">
        <v>6</v>
      </c>
      <c r="F43" s="31" t="s">
        <v>8</v>
      </c>
      <c r="G43" s="54">
        <v>2021</v>
      </c>
      <c r="H43" s="56">
        <v>4870</v>
      </c>
      <c r="I43" s="55" t="s">
        <v>131</v>
      </c>
    </row>
    <row r="44" spans="1:9">
      <c r="A44" s="59"/>
      <c r="B44" s="59"/>
      <c r="C44" s="12">
        <v>19</v>
      </c>
      <c r="D44" s="31"/>
      <c r="E44" s="31" t="s">
        <v>6</v>
      </c>
      <c r="F44" s="31" t="s">
        <v>8</v>
      </c>
      <c r="G44" s="54">
        <v>2021</v>
      </c>
      <c r="H44" s="56">
        <v>5050</v>
      </c>
      <c r="I44" s="55" t="s">
        <v>133</v>
      </c>
    </row>
    <row r="45" spans="1:9">
      <c r="A45" s="59"/>
      <c r="B45" s="59"/>
      <c r="C45" s="12">
        <v>20</v>
      </c>
      <c r="D45" s="31"/>
      <c r="E45" s="31" t="s">
        <v>6</v>
      </c>
      <c r="F45" s="31" t="s">
        <v>8</v>
      </c>
      <c r="G45" s="54">
        <v>2021</v>
      </c>
      <c r="H45" s="56">
        <v>2420</v>
      </c>
      <c r="I45" s="55" t="s">
        <v>135</v>
      </c>
    </row>
    <row r="46" spans="1:9">
      <c r="A46" s="59"/>
      <c r="B46" s="59"/>
      <c r="C46" s="12">
        <v>21</v>
      </c>
      <c r="D46" s="31"/>
      <c r="E46" s="31" t="s">
        <v>6</v>
      </c>
      <c r="F46" s="31" t="s">
        <v>8</v>
      </c>
      <c r="G46" s="54">
        <v>2021</v>
      </c>
      <c r="H46" s="56">
        <v>2460</v>
      </c>
      <c r="I46" s="55" t="s">
        <v>140</v>
      </c>
    </row>
    <row r="47" spans="1:9">
      <c r="A47" s="59"/>
      <c r="B47" s="59"/>
      <c r="C47" s="12">
        <v>22</v>
      </c>
      <c r="D47" s="31"/>
      <c r="E47" s="31" t="s">
        <v>6</v>
      </c>
      <c r="F47" s="31" t="s">
        <v>8</v>
      </c>
      <c r="G47" s="54">
        <v>2021</v>
      </c>
      <c r="H47" s="56">
        <v>6250</v>
      </c>
      <c r="I47" s="55" t="s">
        <v>147</v>
      </c>
    </row>
    <row r="48" spans="1:9">
      <c r="A48" s="59"/>
      <c r="B48" s="59"/>
      <c r="C48" s="12">
        <v>23</v>
      </c>
      <c r="D48" s="31"/>
      <c r="E48" s="31" t="s">
        <v>6</v>
      </c>
      <c r="F48" s="31" t="s">
        <v>8</v>
      </c>
      <c r="G48" s="54">
        <v>2021</v>
      </c>
      <c r="H48" s="56">
        <v>4300</v>
      </c>
      <c r="I48" s="55" t="s">
        <v>150</v>
      </c>
    </row>
    <row r="49" spans="1:9">
      <c r="A49" s="59"/>
      <c r="B49" s="59"/>
      <c r="C49" s="12">
        <v>24</v>
      </c>
      <c r="D49" s="31"/>
      <c r="E49" s="31" t="s">
        <v>6</v>
      </c>
      <c r="F49" s="31" t="s">
        <v>8</v>
      </c>
      <c r="G49" s="54">
        <v>2021</v>
      </c>
      <c r="H49" s="56">
        <v>330</v>
      </c>
      <c r="I49" s="55" t="s">
        <v>150</v>
      </c>
    </row>
    <row r="50" spans="1:9">
      <c r="A50" s="59"/>
      <c r="B50" s="59"/>
      <c r="C50" s="12">
        <v>25</v>
      </c>
      <c r="D50" s="31"/>
      <c r="E50" s="31" t="s">
        <v>6</v>
      </c>
      <c r="F50" s="31" t="s">
        <v>8</v>
      </c>
      <c r="G50" s="54">
        <v>2021</v>
      </c>
      <c r="H50" s="56">
        <v>2120</v>
      </c>
      <c r="I50" s="55" t="s">
        <v>160</v>
      </c>
    </row>
    <row r="51" spans="1:9">
      <c r="A51" s="59"/>
      <c r="B51" s="59"/>
      <c r="C51" s="12">
        <v>26</v>
      </c>
      <c r="D51" s="31"/>
      <c r="E51" s="31" t="s">
        <v>6</v>
      </c>
      <c r="F51" s="31" t="s">
        <v>8</v>
      </c>
      <c r="G51" s="54">
        <v>2021</v>
      </c>
      <c r="H51" s="56">
        <v>2120</v>
      </c>
      <c r="I51" s="55" t="s">
        <v>164</v>
      </c>
    </row>
    <row r="52" spans="1:9">
      <c r="A52" s="59"/>
      <c r="B52" s="59"/>
      <c r="C52" s="12">
        <v>27</v>
      </c>
      <c r="D52" s="31"/>
      <c r="E52" s="31" t="s">
        <v>6</v>
      </c>
      <c r="F52" s="31" t="s">
        <v>8</v>
      </c>
      <c r="G52" s="54">
        <v>2021</v>
      </c>
      <c r="H52" s="56">
        <v>4640</v>
      </c>
      <c r="I52" s="55" t="s">
        <v>166</v>
      </c>
    </row>
    <row r="53" spans="1:9">
      <c r="A53" s="59"/>
      <c r="B53" s="59"/>
      <c r="C53" s="12">
        <v>28</v>
      </c>
      <c r="D53" s="31"/>
      <c r="E53" s="31" t="s">
        <v>6</v>
      </c>
      <c r="F53" s="31" t="s">
        <v>8</v>
      </c>
      <c r="G53" s="54">
        <v>2021</v>
      </c>
      <c r="H53" s="56">
        <v>2140</v>
      </c>
      <c r="I53" s="55" t="s">
        <v>179</v>
      </c>
    </row>
    <row r="54" spans="1:9">
      <c r="A54" s="59"/>
      <c r="B54" s="59"/>
      <c r="C54" s="12">
        <v>29</v>
      </c>
      <c r="D54" s="31"/>
      <c r="E54" s="31" t="s">
        <v>6</v>
      </c>
      <c r="F54" s="31" t="s">
        <v>8</v>
      </c>
      <c r="G54" s="54">
        <v>2021</v>
      </c>
      <c r="H54" s="56">
        <v>5750</v>
      </c>
      <c r="I54" s="55" t="s">
        <v>183</v>
      </c>
    </row>
    <row r="55" spans="1:9">
      <c r="A55" s="59"/>
      <c r="B55" s="59"/>
      <c r="C55" s="12">
        <v>30</v>
      </c>
      <c r="D55" s="31"/>
      <c r="E55" s="31" t="s">
        <v>6</v>
      </c>
      <c r="F55" s="31" t="s">
        <v>8</v>
      </c>
      <c r="G55" s="54">
        <v>2021</v>
      </c>
      <c r="H55" s="56">
        <v>2500</v>
      </c>
      <c r="I55" s="55" t="s">
        <v>192</v>
      </c>
    </row>
    <row r="56" spans="1:9">
      <c r="A56" s="59"/>
      <c r="B56" s="59"/>
      <c r="C56" s="12">
        <v>31</v>
      </c>
      <c r="D56" s="31"/>
      <c r="E56" s="31" t="s">
        <v>6</v>
      </c>
      <c r="F56" s="31" t="s">
        <v>8</v>
      </c>
      <c r="G56" s="54">
        <v>2021</v>
      </c>
      <c r="H56" s="56">
        <v>700</v>
      </c>
      <c r="I56" s="55" t="s">
        <v>192</v>
      </c>
    </row>
    <row r="57" spans="1:9">
      <c r="A57" s="59"/>
      <c r="B57" s="59"/>
      <c r="C57" s="12">
        <v>32</v>
      </c>
      <c r="D57" s="31"/>
      <c r="E57" s="31" t="s">
        <v>6</v>
      </c>
      <c r="F57" s="31" t="s">
        <v>8</v>
      </c>
      <c r="G57" s="54">
        <v>2021</v>
      </c>
      <c r="H57" s="56">
        <v>6690</v>
      </c>
      <c r="I57" s="55" t="s">
        <v>200</v>
      </c>
    </row>
    <row r="58" spans="1:9">
      <c r="A58" s="59"/>
      <c r="B58" s="60"/>
      <c r="C58" s="17" t="s">
        <v>548</v>
      </c>
      <c r="D58" s="17"/>
      <c r="E58" s="17"/>
      <c r="F58" s="17"/>
      <c r="G58" s="17"/>
      <c r="H58" s="57">
        <f>SUM(H26:H57)</f>
        <v>103130</v>
      </c>
      <c r="I58" s="34" t="s">
        <v>549</v>
      </c>
    </row>
    <row r="59" spans="1:9">
      <c r="A59" s="60"/>
      <c r="B59" s="41"/>
      <c r="C59" s="35" t="s">
        <v>223</v>
      </c>
      <c r="D59" s="35"/>
      <c r="E59" s="35"/>
      <c r="F59" s="35"/>
      <c r="G59" s="35"/>
      <c r="H59" s="36">
        <f>SUM(H58,H25,H18)</f>
        <v>200310</v>
      </c>
      <c r="I59" s="37" t="s">
        <v>503</v>
      </c>
    </row>
    <row r="60" spans="1:9">
      <c r="A60" s="58" t="s">
        <v>260</v>
      </c>
      <c r="B60" s="58" t="s">
        <v>257</v>
      </c>
      <c r="C60" s="12">
        <v>1</v>
      </c>
      <c r="D60" s="31"/>
      <c r="E60" s="31" t="s">
        <v>6</v>
      </c>
      <c r="F60" s="31" t="s">
        <v>9</v>
      </c>
      <c r="G60" s="54">
        <v>2022</v>
      </c>
      <c r="H60" s="56">
        <v>1730</v>
      </c>
      <c r="I60" s="55" t="s">
        <v>13</v>
      </c>
    </row>
    <row r="61" spans="1:9">
      <c r="A61" s="59"/>
      <c r="B61" s="59"/>
      <c r="C61" s="12">
        <v>2</v>
      </c>
      <c r="D61" s="31"/>
      <c r="E61" s="31" t="s">
        <v>6</v>
      </c>
      <c r="F61" s="31" t="s">
        <v>9</v>
      </c>
      <c r="G61" s="54">
        <v>2022</v>
      </c>
      <c r="H61" s="56">
        <v>1980</v>
      </c>
      <c r="I61" s="55" t="s">
        <v>23</v>
      </c>
    </row>
    <row r="62" spans="1:9">
      <c r="A62" s="59"/>
      <c r="B62" s="59"/>
      <c r="C62" s="12">
        <v>3</v>
      </c>
      <c r="D62" s="31"/>
      <c r="E62" s="31" t="s">
        <v>6</v>
      </c>
      <c r="F62" s="31" t="s">
        <v>9</v>
      </c>
      <c r="G62" s="54">
        <v>2022</v>
      </c>
      <c r="H62" s="56">
        <v>6980</v>
      </c>
      <c r="I62" s="55" t="s">
        <v>29</v>
      </c>
    </row>
    <row r="63" spans="1:9">
      <c r="A63" s="59"/>
      <c r="B63" s="59"/>
      <c r="C63" s="12">
        <v>4</v>
      </c>
      <c r="D63" s="31"/>
      <c r="E63" s="31" t="s">
        <v>6</v>
      </c>
      <c r="F63" s="31" t="s">
        <v>9</v>
      </c>
      <c r="G63" s="54">
        <v>2022</v>
      </c>
      <c r="H63" s="56">
        <v>3790</v>
      </c>
      <c r="I63" s="55" t="s">
        <v>36</v>
      </c>
    </row>
    <row r="64" spans="1:9">
      <c r="A64" s="59"/>
      <c r="B64" s="59"/>
      <c r="C64" s="12">
        <v>5</v>
      </c>
      <c r="D64" s="31"/>
      <c r="E64" s="31" t="s">
        <v>6</v>
      </c>
      <c r="F64" s="31" t="s">
        <v>9</v>
      </c>
      <c r="G64" s="54">
        <v>2022</v>
      </c>
      <c r="H64" s="56">
        <v>3520</v>
      </c>
      <c r="I64" s="55" t="s">
        <v>51</v>
      </c>
    </row>
    <row r="65" spans="1:9">
      <c r="A65" s="59"/>
      <c r="B65" s="59"/>
      <c r="C65" s="12">
        <v>6</v>
      </c>
      <c r="D65" s="31"/>
      <c r="E65" s="31" t="s">
        <v>6</v>
      </c>
      <c r="F65" s="31" t="s">
        <v>9</v>
      </c>
      <c r="G65" s="54">
        <v>2022</v>
      </c>
      <c r="H65" s="56">
        <v>3830</v>
      </c>
      <c r="I65" s="55" t="s">
        <v>55</v>
      </c>
    </row>
    <row r="66" spans="1:9">
      <c r="A66" s="59"/>
      <c r="B66" s="59"/>
      <c r="C66" s="12">
        <v>7</v>
      </c>
      <c r="D66" s="31"/>
      <c r="E66" s="31" t="s">
        <v>6</v>
      </c>
      <c r="F66" s="31" t="s">
        <v>9</v>
      </c>
      <c r="G66" s="54">
        <v>2022</v>
      </c>
      <c r="H66" s="56">
        <v>1540</v>
      </c>
      <c r="I66" s="55" t="s">
        <v>68</v>
      </c>
    </row>
    <row r="67" spans="1:9">
      <c r="A67" s="59"/>
      <c r="B67" s="59"/>
      <c r="C67" s="12">
        <v>8</v>
      </c>
      <c r="D67" s="31"/>
      <c r="E67" s="31" t="s">
        <v>6</v>
      </c>
      <c r="F67" s="31" t="s">
        <v>9</v>
      </c>
      <c r="G67" s="54">
        <v>2022</v>
      </c>
      <c r="H67" s="56">
        <v>1100</v>
      </c>
      <c r="I67" s="55" t="s">
        <v>70</v>
      </c>
    </row>
    <row r="68" spans="1:9">
      <c r="A68" s="59"/>
      <c r="B68" s="59"/>
      <c r="C68" s="12">
        <v>9</v>
      </c>
      <c r="D68" s="31"/>
      <c r="E68" s="31" t="s">
        <v>6</v>
      </c>
      <c r="F68" s="31" t="s">
        <v>9</v>
      </c>
      <c r="G68" s="54">
        <v>2022</v>
      </c>
      <c r="H68" s="56">
        <v>5050</v>
      </c>
      <c r="I68" s="55" t="s">
        <v>83</v>
      </c>
    </row>
    <row r="69" spans="1:9">
      <c r="A69" s="59"/>
      <c r="B69" s="59"/>
      <c r="C69" s="12">
        <v>10</v>
      </c>
      <c r="D69" s="31"/>
      <c r="E69" s="31" t="s">
        <v>6</v>
      </c>
      <c r="F69" s="31" t="s">
        <v>9</v>
      </c>
      <c r="G69" s="54">
        <v>2022</v>
      </c>
      <c r="H69" s="56">
        <v>1650</v>
      </c>
      <c r="I69" s="55" t="s">
        <v>103</v>
      </c>
    </row>
    <row r="70" spans="1:9">
      <c r="A70" s="59"/>
      <c r="B70" s="59"/>
      <c r="C70" s="12">
        <v>11</v>
      </c>
      <c r="D70" s="31"/>
      <c r="E70" s="31" t="s">
        <v>6</v>
      </c>
      <c r="F70" s="31" t="s">
        <v>9</v>
      </c>
      <c r="G70" s="54">
        <v>2022</v>
      </c>
      <c r="H70" s="56">
        <v>1340</v>
      </c>
      <c r="I70" s="55" t="s">
        <v>106</v>
      </c>
    </row>
    <row r="71" spans="1:9">
      <c r="A71" s="59"/>
      <c r="B71" s="59"/>
      <c r="C71" s="12">
        <v>12</v>
      </c>
      <c r="D71" s="31"/>
      <c r="E71" s="31" t="s">
        <v>6</v>
      </c>
      <c r="F71" s="31" t="s">
        <v>9</v>
      </c>
      <c r="G71" s="54">
        <v>2022</v>
      </c>
      <c r="H71" s="56">
        <v>1580</v>
      </c>
      <c r="I71" s="55" t="s">
        <v>118</v>
      </c>
    </row>
    <row r="72" spans="1:9">
      <c r="A72" s="59"/>
      <c r="B72" s="59"/>
      <c r="C72" s="12">
        <v>13</v>
      </c>
      <c r="D72" s="31"/>
      <c r="E72" s="31" t="s">
        <v>6</v>
      </c>
      <c r="F72" s="31" t="s">
        <v>9</v>
      </c>
      <c r="G72" s="54">
        <v>2022</v>
      </c>
      <c r="H72" s="56">
        <v>1760</v>
      </c>
      <c r="I72" s="55" t="s">
        <v>118</v>
      </c>
    </row>
    <row r="73" spans="1:9">
      <c r="A73" s="59"/>
      <c r="B73" s="59"/>
      <c r="C73" s="12">
        <v>14</v>
      </c>
      <c r="D73" s="31"/>
      <c r="E73" s="31" t="s">
        <v>6</v>
      </c>
      <c r="F73" s="31" t="s">
        <v>9</v>
      </c>
      <c r="G73" s="54">
        <v>2022</v>
      </c>
      <c r="H73" s="56">
        <v>3660</v>
      </c>
      <c r="I73" s="55" t="s">
        <v>122</v>
      </c>
    </row>
    <row r="74" spans="1:9">
      <c r="A74" s="59"/>
      <c r="B74" s="59"/>
      <c r="C74" s="12">
        <v>15</v>
      </c>
      <c r="D74" s="31"/>
      <c r="E74" s="31" t="s">
        <v>6</v>
      </c>
      <c r="F74" s="31" t="s">
        <v>9</v>
      </c>
      <c r="G74" s="54">
        <v>2022</v>
      </c>
      <c r="H74" s="56">
        <v>4040</v>
      </c>
      <c r="I74" s="55" t="s">
        <v>123</v>
      </c>
    </row>
    <row r="75" spans="1:9">
      <c r="A75" s="59"/>
      <c r="B75" s="59"/>
      <c r="C75" s="12">
        <v>16</v>
      </c>
      <c r="D75" s="31"/>
      <c r="E75" s="31" t="s">
        <v>6</v>
      </c>
      <c r="F75" s="31" t="s">
        <v>9</v>
      </c>
      <c r="G75" s="54">
        <v>2022</v>
      </c>
      <c r="H75" s="56">
        <v>3900</v>
      </c>
      <c r="I75" s="55" t="s">
        <v>124</v>
      </c>
    </row>
    <row r="76" spans="1:9">
      <c r="A76" s="59"/>
      <c r="B76" s="59"/>
      <c r="C76" s="12">
        <v>17</v>
      </c>
      <c r="D76" s="31"/>
      <c r="E76" s="31" t="s">
        <v>6</v>
      </c>
      <c r="F76" s="31" t="s">
        <v>9</v>
      </c>
      <c r="G76" s="54">
        <v>2022</v>
      </c>
      <c r="H76" s="56">
        <v>9090</v>
      </c>
      <c r="I76" s="55" t="s">
        <v>125</v>
      </c>
    </row>
    <row r="77" spans="1:9">
      <c r="A77" s="59"/>
      <c r="B77" s="59"/>
      <c r="C77" s="12">
        <v>18</v>
      </c>
      <c r="D77" s="31"/>
      <c r="E77" s="31" t="s">
        <v>6</v>
      </c>
      <c r="F77" s="31" t="s">
        <v>9</v>
      </c>
      <c r="G77" s="54">
        <v>2022</v>
      </c>
      <c r="H77" s="56">
        <v>4190</v>
      </c>
      <c r="I77" s="55" t="s">
        <v>126</v>
      </c>
    </row>
    <row r="78" spans="1:9">
      <c r="A78" s="59"/>
      <c r="B78" s="59"/>
      <c r="C78" s="12">
        <v>19</v>
      </c>
      <c r="D78" s="31"/>
      <c r="E78" s="31" t="s">
        <v>6</v>
      </c>
      <c r="F78" s="31" t="s">
        <v>9</v>
      </c>
      <c r="G78" s="54">
        <v>2022</v>
      </c>
      <c r="H78" s="56">
        <v>5270</v>
      </c>
      <c r="I78" s="55" t="s">
        <v>152</v>
      </c>
    </row>
    <row r="79" spans="1:9">
      <c r="A79" s="59"/>
      <c r="B79" s="59"/>
      <c r="C79" s="12">
        <v>20</v>
      </c>
      <c r="D79" s="31"/>
      <c r="E79" s="31" t="s">
        <v>6</v>
      </c>
      <c r="F79" s="31" t="s">
        <v>9</v>
      </c>
      <c r="G79" s="54">
        <v>2022</v>
      </c>
      <c r="H79" s="56">
        <v>3740</v>
      </c>
      <c r="I79" s="55" t="s">
        <v>153</v>
      </c>
    </row>
    <row r="80" spans="1:9">
      <c r="A80" s="59"/>
      <c r="B80" s="59"/>
      <c r="C80" s="12">
        <v>21</v>
      </c>
      <c r="D80" s="31"/>
      <c r="E80" s="31" t="s">
        <v>6</v>
      </c>
      <c r="F80" s="31" t="s">
        <v>9</v>
      </c>
      <c r="G80" s="54">
        <v>2022</v>
      </c>
      <c r="H80" s="56">
        <v>1910</v>
      </c>
      <c r="I80" s="55" t="s">
        <v>154</v>
      </c>
    </row>
    <row r="81" spans="1:9">
      <c r="A81" s="59"/>
      <c r="B81" s="59"/>
      <c r="C81" s="12">
        <v>22</v>
      </c>
      <c r="D81" s="31"/>
      <c r="E81" s="31" t="s">
        <v>6</v>
      </c>
      <c r="F81" s="31" t="s">
        <v>9</v>
      </c>
      <c r="G81" s="54">
        <v>2022</v>
      </c>
      <c r="H81" s="56">
        <v>2420</v>
      </c>
      <c r="I81" s="55" t="s">
        <v>155</v>
      </c>
    </row>
    <row r="82" spans="1:9">
      <c r="A82" s="59"/>
      <c r="B82" s="59"/>
      <c r="C82" s="12">
        <v>23</v>
      </c>
      <c r="D82" s="31"/>
      <c r="E82" s="31" t="s">
        <v>6</v>
      </c>
      <c r="F82" s="31" t="s">
        <v>9</v>
      </c>
      <c r="G82" s="54">
        <v>2022</v>
      </c>
      <c r="H82" s="56">
        <v>13050</v>
      </c>
      <c r="I82" s="55" t="s">
        <v>165</v>
      </c>
    </row>
    <row r="83" spans="1:9">
      <c r="A83" s="59"/>
      <c r="B83" s="59"/>
      <c r="C83" s="12">
        <v>24</v>
      </c>
      <c r="D83" s="31"/>
      <c r="E83" s="31" t="s">
        <v>6</v>
      </c>
      <c r="F83" s="31" t="s">
        <v>9</v>
      </c>
      <c r="G83" s="54">
        <v>2022</v>
      </c>
      <c r="H83" s="56">
        <v>2050</v>
      </c>
      <c r="I83" s="55" t="s">
        <v>165</v>
      </c>
    </row>
    <row r="84" spans="1:9">
      <c r="A84" s="59"/>
      <c r="B84" s="59"/>
      <c r="C84" s="12">
        <v>25</v>
      </c>
      <c r="D84" s="31"/>
      <c r="E84" s="31" t="s">
        <v>6</v>
      </c>
      <c r="F84" s="31" t="s">
        <v>9</v>
      </c>
      <c r="G84" s="54">
        <v>2022</v>
      </c>
      <c r="H84" s="56">
        <v>3220</v>
      </c>
      <c r="I84" s="55" t="s">
        <v>173</v>
      </c>
    </row>
    <row r="85" spans="1:9">
      <c r="A85" s="59"/>
      <c r="B85" s="59"/>
      <c r="C85" s="12">
        <v>26</v>
      </c>
      <c r="D85" s="31"/>
      <c r="E85" s="31" t="s">
        <v>6</v>
      </c>
      <c r="F85" s="31" t="s">
        <v>9</v>
      </c>
      <c r="G85" s="54">
        <v>2022</v>
      </c>
      <c r="H85" s="56">
        <v>4440</v>
      </c>
      <c r="I85" s="55" t="s">
        <v>190</v>
      </c>
    </row>
    <row r="86" spans="1:9">
      <c r="A86" s="59"/>
      <c r="B86" s="59"/>
      <c r="C86" s="12">
        <v>27</v>
      </c>
      <c r="D86" s="31"/>
      <c r="E86" s="31" t="s">
        <v>6</v>
      </c>
      <c r="F86" s="31" t="s">
        <v>9</v>
      </c>
      <c r="G86" s="54">
        <v>2022</v>
      </c>
      <c r="H86" s="56">
        <v>1590</v>
      </c>
      <c r="I86" s="55" t="s">
        <v>191</v>
      </c>
    </row>
    <row r="87" spans="1:9">
      <c r="A87" s="59"/>
      <c r="B87" s="59"/>
      <c r="C87" s="12">
        <v>28</v>
      </c>
      <c r="D87" s="31"/>
      <c r="E87" s="31" t="s">
        <v>6</v>
      </c>
      <c r="F87" s="31" t="s">
        <v>9</v>
      </c>
      <c r="G87" s="54">
        <v>2022</v>
      </c>
      <c r="H87" s="56">
        <v>1410</v>
      </c>
      <c r="I87" s="55" t="s">
        <v>199</v>
      </c>
    </row>
    <row r="88" spans="1:9">
      <c r="A88" s="59"/>
      <c r="B88" s="60"/>
      <c r="C88" s="17" t="s">
        <v>228</v>
      </c>
      <c r="D88" s="17"/>
      <c r="E88" s="17"/>
      <c r="F88" s="17"/>
      <c r="G88" s="17"/>
      <c r="H88" s="18">
        <f>SUM(H60:H87)</f>
        <v>99830</v>
      </c>
      <c r="I88" s="34" t="s">
        <v>226</v>
      </c>
    </row>
    <row r="89" spans="1:9">
      <c r="A89" s="59"/>
      <c r="B89" s="58" t="s">
        <v>258</v>
      </c>
      <c r="C89" s="12">
        <v>1</v>
      </c>
      <c r="D89" s="31"/>
      <c r="E89" s="31" t="s">
        <v>6</v>
      </c>
      <c r="F89" s="31" t="s">
        <v>7</v>
      </c>
      <c r="G89" s="54">
        <v>2022</v>
      </c>
      <c r="H89" s="56">
        <v>2410</v>
      </c>
      <c r="I89" s="55" t="s">
        <v>74</v>
      </c>
    </row>
    <row r="90" spans="1:9">
      <c r="A90" s="59"/>
      <c r="B90" s="60"/>
      <c r="C90" s="17" t="s">
        <v>229</v>
      </c>
      <c r="D90" s="17"/>
      <c r="E90" s="17"/>
      <c r="F90" s="17"/>
      <c r="G90" s="17"/>
      <c r="H90" s="18">
        <f>SUM(H89)</f>
        <v>2410</v>
      </c>
      <c r="I90" s="34" t="s">
        <v>238</v>
      </c>
    </row>
    <row r="91" spans="1:9">
      <c r="A91" s="59"/>
      <c r="B91" s="58" t="s">
        <v>259</v>
      </c>
      <c r="C91" s="12">
        <v>1</v>
      </c>
      <c r="D91" s="31"/>
      <c r="E91" s="31" t="s">
        <v>6</v>
      </c>
      <c r="F91" s="31" t="s">
        <v>8</v>
      </c>
      <c r="G91" s="54">
        <v>2022</v>
      </c>
      <c r="H91" s="56">
        <v>4850</v>
      </c>
      <c r="I91" s="55" t="s">
        <v>12</v>
      </c>
    </row>
    <row r="92" spans="1:9">
      <c r="A92" s="59"/>
      <c r="B92" s="59"/>
      <c r="C92" s="12">
        <v>2</v>
      </c>
      <c r="D92" s="31"/>
      <c r="E92" s="31" t="s">
        <v>6</v>
      </c>
      <c r="F92" s="31" t="s">
        <v>8</v>
      </c>
      <c r="G92" s="54">
        <v>2022</v>
      </c>
      <c r="H92" s="56">
        <v>3120</v>
      </c>
      <c r="I92" s="55" t="s">
        <v>25</v>
      </c>
    </row>
    <row r="93" spans="1:9">
      <c r="A93" s="59"/>
      <c r="B93" s="59"/>
      <c r="C93" s="12">
        <v>3</v>
      </c>
      <c r="D93" s="31"/>
      <c r="E93" s="31" t="s">
        <v>6</v>
      </c>
      <c r="F93" s="31" t="s">
        <v>8</v>
      </c>
      <c r="G93" s="54">
        <v>2022</v>
      </c>
      <c r="H93" s="56">
        <v>2870</v>
      </c>
      <c r="I93" s="55" t="s">
        <v>42</v>
      </c>
    </row>
    <row r="94" spans="1:9">
      <c r="A94" s="59"/>
      <c r="B94" s="59"/>
      <c r="C94" s="12">
        <v>4</v>
      </c>
      <c r="D94" s="31"/>
      <c r="E94" s="31" t="s">
        <v>6</v>
      </c>
      <c r="F94" s="31" t="s">
        <v>8</v>
      </c>
      <c r="G94" s="54">
        <v>2022</v>
      </c>
      <c r="H94" s="56">
        <v>2670</v>
      </c>
      <c r="I94" s="55" t="s">
        <v>56</v>
      </c>
    </row>
    <row r="95" spans="1:9">
      <c r="A95" s="59"/>
      <c r="B95" s="59"/>
      <c r="C95" s="12">
        <v>5</v>
      </c>
      <c r="D95" s="31"/>
      <c r="E95" s="31" t="s">
        <v>6</v>
      </c>
      <c r="F95" s="31" t="s">
        <v>8</v>
      </c>
      <c r="G95" s="54">
        <v>2022</v>
      </c>
      <c r="H95" s="56">
        <v>1720</v>
      </c>
      <c r="I95" s="55" t="s">
        <v>59</v>
      </c>
    </row>
    <row r="96" spans="1:9">
      <c r="A96" s="59"/>
      <c r="B96" s="59"/>
      <c r="C96" s="12">
        <v>6</v>
      </c>
      <c r="D96" s="31"/>
      <c r="E96" s="31" t="s">
        <v>6</v>
      </c>
      <c r="F96" s="31" t="s">
        <v>8</v>
      </c>
      <c r="G96" s="54">
        <v>2022</v>
      </c>
      <c r="H96" s="56">
        <v>3620</v>
      </c>
      <c r="I96" s="55" t="s">
        <v>60</v>
      </c>
    </row>
    <row r="97" spans="1:9">
      <c r="A97" s="59"/>
      <c r="B97" s="59"/>
      <c r="C97" s="12">
        <v>7</v>
      </c>
      <c r="D97" s="31"/>
      <c r="E97" s="31" t="s">
        <v>6</v>
      </c>
      <c r="F97" s="31" t="s">
        <v>8</v>
      </c>
      <c r="G97" s="54">
        <v>2022</v>
      </c>
      <c r="H97" s="56">
        <v>4400</v>
      </c>
      <c r="I97" s="55" t="s">
        <v>62</v>
      </c>
    </row>
    <row r="98" spans="1:9">
      <c r="A98" s="59"/>
      <c r="B98" s="59"/>
      <c r="C98" s="12">
        <v>8</v>
      </c>
      <c r="D98" s="31"/>
      <c r="E98" s="31" t="s">
        <v>6</v>
      </c>
      <c r="F98" s="31" t="s">
        <v>8</v>
      </c>
      <c r="G98" s="54">
        <v>2022</v>
      </c>
      <c r="H98" s="56">
        <v>4280</v>
      </c>
      <c r="I98" s="55" t="s">
        <v>82</v>
      </c>
    </row>
    <row r="99" spans="1:9">
      <c r="A99" s="59"/>
      <c r="B99" s="59"/>
      <c r="C99" s="12">
        <v>9</v>
      </c>
      <c r="D99" s="31"/>
      <c r="E99" s="31" t="s">
        <v>6</v>
      </c>
      <c r="F99" s="31" t="s">
        <v>8</v>
      </c>
      <c r="G99" s="54">
        <v>2022</v>
      </c>
      <c r="H99" s="56">
        <v>3430</v>
      </c>
      <c r="I99" s="55" t="s">
        <v>101</v>
      </c>
    </row>
    <row r="100" spans="1:9">
      <c r="A100" s="59"/>
      <c r="B100" s="59"/>
      <c r="C100" s="12">
        <v>10</v>
      </c>
      <c r="D100" s="31"/>
      <c r="E100" s="31" t="s">
        <v>6</v>
      </c>
      <c r="F100" s="31" t="s">
        <v>8</v>
      </c>
      <c r="G100" s="54">
        <v>2022</v>
      </c>
      <c r="H100" s="56">
        <v>4300</v>
      </c>
      <c r="I100" s="55" t="s">
        <v>102</v>
      </c>
    </row>
    <row r="101" spans="1:9">
      <c r="A101" s="59"/>
      <c r="B101" s="59"/>
      <c r="C101" s="12">
        <v>11</v>
      </c>
      <c r="D101" s="31"/>
      <c r="E101" s="31" t="s">
        <v>6</v>
      </c>
      <c r="F101" s="31" t="s">
        <v>8</v>
      </c>
      <c r="G101" s="54">
        <v>2022</v>
      </c>
      <c r="H101" s="56">
        <v>1520</v>
      </c>
      <c r="I101" s="55" t="s">
        <v>104</v>
      </c>
    </row>
    <row r="102" spans="1:9">
      <c r="A102" s="59"/>
      <c r="B102" s="59"/>
      <c r="C102" s="12">
        <v>12</v>
      </c>
      <c r="D102" s="31"/>
      <c r="E102" s="31" t="s">
        <v>6</v>
      </c>
      <c r="F102" s="31" t="s">
        <v>8</v>
      </c>
      <c r="G102" s="54">
        <v>2022</v>
      </c>
      <c r="H102" s="56">
        <v>1780</v>
      </c>
      <c r="I102" s="55" t="s">
        <v>105</v>
      </c>
    </row>
    <row r="103" spans="1:9">
      <c r="A103" s="59"/>
      <c r="B103" s="59"/>
      <c r="C103" s="12">
        <v>13</v>
      </c>
      <c r="D103" s="31"/>
      <c r="E103" s="31" t="s">
        <v>6</v>
      </c>
      <c r="F103" s="31" t="s">
        <v>8</v>
      </c>
      <c r="G103" s="54">
        <v>2022</v>
      </c>
      <c r="H103" s="56">
        <v>3680</v>
      </c>
      <c r="I103" s="55" t="s">
        <v>139</v>
      </c>
    </row>
    <row r="104" spans="1:9">
      <c r="A104" s="59"/>
      <c r="B104" s="59"/>
      <c r="C104" s="12">
        <v>14</v>
      </c>
      <c r="D104" s="31"/>
      <c r="E104" s="31" t="s">
        <v>6</v>
      </c>
      <c r="F104" s="31" t="s">
        <v>8</v>
      </c>
      <c r="G104" s="54">
        <v>2022</v>
      </c>
      <c r="H104" s="56">
        <v>1380</v>
      </c>
      <c r="I104" s="55" t="s">
        <v>142</v>
      </c>
    </row>
    <row r="105" spans="1:9">
      <c r="A105" s="59"/>
      <c r="B105" s="59"/>
      <c r="C105" s="12">
        <v>15</v>
      </c>
      <c r="D105" s="31"/>
      <c r="E105" s="31" t="s">
        <v>6</v>
      </c>
      <c r="F105" s="31" t="s">
        <v>8</v>
      </c>
      <c r="G105" s="54">
        <v>2022</v>
      </c>
      <c r="H105" s="56">
        <v>4450</v>
      </c>
      <c r="I105" s="55" t="s">
        <v>144</v>
      </c>
    </row>
    <row r="106" spans="1:9">
      <c r="A106" s="59"/>
      <c r="B106" s="59"/>
      <c r="C106" s="12">
        <v>16</v>
      </c>
      <c r="D106" s="31"/>
      <c r="E106" s="31" t="s">
        <v>6</v>
      </c>
      <c r="F106" s="31" t="s">
        <v>8</v>
      </c>
      <c r="G106" s="54">
        <v>2022</v>
      </c>
      <c r="H106" s="56">
        <v>5880</v>
      </c>
      <c r="I106" s="55" t="s">
        <v>146</v>
      </c>
    </row>
    <row r="107" spans="1:9">
      <c r="A107" s="59"/>
      <c r="B107" s="59"/>
      <c r="C107" s="12">
        <v>17</v>
      </c>
      <c r="D107" s="31"/>
      <c r="E107" s="31" t="s">
        <v>6</v>
      </c>
      <c r="F107" s="31" t="s">
        <v>8</v>
      </c>
      <c r="G107" s="54">
        <v>2022</v>
      </c>
      <c r="H107" s="56">
        <v>1960</v>
      </c>
      <c r="I107" s="55" t="s">
        <v>202</v>
      </c>
    </row>
    <row r="108" spans="1:9">
      <c r="A108" s="59"/>
      <c r="B108" s="60"/>
      <c r="C108" s="17" t="s">
        <v>227</v>
      </c>
      <c r="D108" s="17"/>
      <c r="E108" s="17"/>
      <c r="F108" s="17"/>
      <c r="G108" s="17"/>
      <c r="H108" s="18">
        <f>SUM(H91:H107)</f>
        <v>55910</v>
      </c>
      <c r="I108" s="34" t="s">
        <v>224</v>
      </c>
    </row>
    <row r="109" spans="1:9">
      <c r="A109" s="60"/>
      <c r="B109" s="41"/>
      <c r="C109" s="35" t="s">
        <v>230</v>
      </c>
      <c r="D109" s="35"/>
      <c r="E109" s="35"/>
      <c r="F109" s="35"/>
      <c r="G109" s="35"/>
      <c r="H109" s="36">
        <f>SUM(H88,H90,H108)</f>
        <v>158150</v>
      </c>
      <c r="I109" s="37" t="s">
        <v>550</v>
      </c>
    </row>
    <row r="110" spans="1:9">
      <c r="A110" s="58" t="s">
        <v>262</v>
      </c>
      <c r="B110" s="58" t="s">
        <v>257</v>
      </c>
      <c r="C110" s="12">
        <v>1</v>
      </c>
      <c r="D110" s="31"/>
      <c r="E110" s="31" t="s">
        <v>6</v>
      </c>
      <c r="F110" s="31" t="s">
        <v>9</v>
      </c>
      <c r="G110" s="54">
        <v>2023</v>
      </c>
      <c r="H110" s="56">
        <v>1870</v>
      </c>
      <c r="I110" s="55" t="s">
        <v>24</v>
      </c>
    </row>
    <row r="111" spans="1:9">
      <c r="A111" s="59"/>
      <c r="B111" s="59"/>
      <c r="C111" s="12">
        <v>2</v>
      </c>
      <c r="D111" s="31"/>
      <c r="E111" s="31" t="s">
        <v>6</v>
      </c>
      <c r="F111" s="31" t="s">
        <v>9</v>
      </c>
      <c r="G111" s="54">
        <v>2023</v>
      </c>
      <c r="H111" s="56">
        <v>4210</v>
      </c>
      <c r="I111" s="55" t="s">
        <v>33</v>
      </c>
    </row>
    <row r="112" spans="1:9">
      <c r="A112" s="59"/>
      <c r="B112" s="59"/>
      <c r="C112" s="12">
        <v>3</v>
      </c>
      <c r="D112" s="31"/>
      <c r="E112" s="31" t="s">
        <v>6</v>
      </c>
      <c r="F112" s="31" t="s">
        <v>9</v>
      </c>
      <c r="G112" s="54">
        <v>2023</v>
      </c>
      <c r="H112" s="56">
        <v>2000</v>
      </c>
      <c r="I112" s="55" t="s">
        <v>34</v>
      </c>
    </row>
    <row r="113" spans="1:9">
      <c r="A113" s="59"/>
      <c r="B113" s="59"/>
      <c r="C113" s="12">
        <v>4</v>
      </c>
      <c r="D113" s="31"/>
      <c r="E113" s="31" t="s">
        <v>6</v>
      </c>
      <c r="F113" s="31" t="s">
        <v>9</v>
      </c>
      <c r="G113" s="54">
        <v>2023</v>
      </c>
      <c r="H113" s="56">
        <v>5410</v>
      </c>
      <c r="I113" s="55" t="s">
        <v>38</v>
      </c>
    </row>
    <row r="114" spans="1:9">
      <c r="A114" s="59"/>
      <c r="B114" s="59"/>
      <c r="C114" s="12">
        <v>5</v>
      </c>
      <c r="D114" s="31"/>
      <c r="E114" s="31" t="s">
        <v>6</v>
      </c>
      <c r="F114" s="31" t="s">
        <v>9</v>
      </c>
      <c r="G114" s="54">
        <v>2023</v>
      </c>
      <c r="H114" s="56">
        <v>2920</v>
      </c>
      <c r="I114" s="55" t="s">
        <v>52</v>
      </c>
    </row>
    <row r="115" spans="1:9">
      <c r="A115" s="59"/>
      <c r="B115" s="59"/>
      <c r="C115" s="12">
        <v>6</v>
      </c>
      <c r="D115" s="31"/>
      <c r="E115" s="31" t="s">
        <v>6</v>
      </c>
      <c r="F115" s="31" t="s">
        <v>9</v>
      </c>
      <c r="G115" s="54">
        <v>2023</v>
      </c>
      <c r="H115" s="56">
        <v>3460</v>
      </c>
      <c r="I115" s="55" t="s">
        <v>57</v>
      </c>
    </row>
    <row r="116" spans="1:9">
      <c r="A116" s="59"/>
      <c r="B116" s="59"/>
      <c r="C116" s="12">
        <v>7</v>
      </c>
      <c r="D116" s="31"/>
      <c r="E116" s="31" t="s">
        <v>6</v>
      </c>
      <c r="F116" s="31" t="s">
        <v>9</v>
      </c>
      <c r="G116" s="54">
        <v>2023</v>
      </c>
      <c r="H116" s="56">
        <v>6170</v>
      </c>
      <c r="I116" s="55" t="s">
        <v>66</v>
      </c>
    </row>
    <row r="117" spans="1:9">
      <c r="A117" s="59"/>
      <c r="B117" s="59"/>
      <c r="C117" s="12">
        <v>8</v>
      </c>
      <c r="D117" s="31"/>
      <c r="E117" s="31" t="s">
        <v>6</v>
      </c>
      <c r="F117" s="31" t="s">
        <v>9</v>
      </c>
      <c r="G117" s="54">
        <v>2023</v>
      </c>
      <c r="H117" s="56">
        <v>2880</v>
      </c>
      <c r="I117" s="55" t="s">
        <v>71</v>
      </c>
    </row>
    <row r="118" spans="1:9">
      <c r="A118" s="59"/>
      <c r="B118" s="59"/>
      <c r="C118" s="12">
        <v>9</v>
      </c>
      <c r="D118" s="31"/>
      <c r="E118" s="31" t="s">
        <v>6</v>
      </c>
      <c r="F118" s="31" t="s">
        <v>9</v>
      </c>
      <c r="G118" s="54">
        <v>2023</v>
      </c>
      <c r="H118" s="56">
        <v>7310</v>
      </c>
      <c r="I118" s="55" t="s">
        <v>77</v>
      </c>
    </row>
    <row r="119" spans="1:9">
      <c r="A119" s="59"/>
      <c r="B119" s="59"/>
      <c r="C119" s="12">
        <v>10</v>
      </c>
      <c r="D119" s="31"/>
      <c r="E119" s="31" t="s">
        <v>6</v>
      </c>
      <c r="F119" s="31" t="s">
        <v>9</v>
      </c>
      <c r="G119" s="54">
        <v>2023</v>
      </c>
      <c r="H119" s="56">
        <v>2380</v>
      </c>
      <c r="I119" s="55" t="s">
        <v>85</v>
      </c>
    </row>
    <row r="120" spans="1:9">
      <c r="A120" s="59"/>
      <c r="B120" s="59"/>
      <c r="C120" s="12">
        <v>11</v>
      </c>
      <c r="D120" s="31"/>
      <c r="E120" s="31" t="s">
        <v>6</v>
      </c>
      <c r="F120" s="31" t="s">
        <v>9</v>
      </c>
      <c r="G120" s="54">
        <v>2023</v>
      </c>
      <c r="H120" s="56">
        <v>3500</v>
      </c>
      <c r="I120" s="55" t="s">
        <v>86</v>
      </c>
    </row>
    <row r="121" spans="1:9">
      <c r="A121" s="59"/>
      <c r="B121" s="59"/>
      <c r="C121" s="12">
        <v>12</v>
      </c>
      <c r="D121" s="31"/>
      <c r="E121" s="31" t="s">
        <v>6</v>
      </c>
      <c r="F121" s="31" t="s">
        <v>9</v>
      </c>
      <c r="G121" s="54">
        <v>2023</v>
      </c>
      <c r="H121" s="56">
        <v>1750</v>
      </c>
      <c r="I121" s="55" t="s">
        <v>87</v>
      </c>
    </row>
    <row r="122" spans="1:9">
      <c r="A122" s="59"/>
      <c r="B122" s="59"/>
      <c r="C122" s="12">
        <v>13</v>
      </c>
      <c r="D122" s="31"/>
      <c r="E122" s="31" t="s">
        <v>6</v>
      </c>
      <c r="F122" s="31" t="s">
        <v>9</v>
      </c>
      <c r="G122" s="54">
        <v>2023</v>
      </c>
      <c r="H122" s="56">
        <v>2470</v>
      </c>
      <c r="I122" s="55" t="s">
        <v>108</v>
      </c>
    </row>
    <row r="123" spans="1:9">
      <c r="A123" s="59"/>
      <c r="B123" s="59"/>
      <c r="C123" s="12">
        <v>14</v>
      </c>
      <c r="D123" s="31"/>
      <c r="E123" s="31" t="s">
        <v>6</v>
      </c>
      <c r="F123" s="31" t="s">
        <v>9</v>
      </c>
      <c r="G123" s="54">
        <v>2023</v>
      </c>
      <c r="H123" s="56">
        <v>3650</v>
      </c>
      <c r="I123" s="55" t="s">
        <v>127</v>
      </c>
    </row>
    <row r="124" spans="1:9">
      <c r="A124" s="59"/>
      <c r="B124" s="59"/>
      <c r="C124" s="12">
        <v>15</v>
      </c>
      <c r="D124" s="31"/>
      <c r="E124" s="31" t="s">
        <v>6</v>
      </c>
      <c r="F124" s="31" t="s">
        <v>9</v>
      </c>
      <c r="G124" s="54">
        <v>2023</v>
      </c>
      <c r="H124" s="56">
        <v>4470</v>
      </c>
      <c r="I124" s="55" t="s">
        <v>145</v>
      </c>
    </row>
    <row r="125" spans="1:9">
      <c r="A125" s="59"/>
      <c r="B125" s="59"/>
      <c r="C125" s="12">
        <v>16</v>
      </c>
      <c r="D125" s="31"/>
      <c r="E125" s="31" t="s">
        <v>6</v>
      </c>
      <c r="F125" s="31" t="s">
        <v>9</v>
      </c>
      <c r="G125" s="54">
        <v>2023</v>
      </c>
      <c r="H125" s="56">
        <v>5770</v>
      </c>
      <c r="I125" s="55" t="s">
        <v>174</v>
      </c>
    </row>
    <row r="126" spans="1:9">
      <c r="A126" s="59"/>
      <c r="B126" s="59"/>
      <c r="C126" s="12">
        <v>17</v>
      </c>
      <c r="D126" s="31"/>
      <c r="E126" s="31" t="s">
        <v>6</v>
      </c>
      <c r="F126" s="31" t="s">
        <v>9</v>
      </c>
      <c r="G126" s="54">
        <v>2023</v>
      </c>
      <c r="H126" s="56">
        <v>1170</v>
      </c>
      <c r="I126" s="55" t="s">
        <v>175</v>
      </c>
    </row>
    <row r="127" spans="1:9">
      <c r="A127" s="59"/>
      <c r="B127" s="59"/>
      <c r="C127" s="12">
        <v>18</v>
      </c>
      <c r="D127" s="31"/>
      <c r="E127" s="31" t="s">
        <v>6</v>
      </c>
      <c r="F127" s="31" t="s">
        <v>9</v>
      </c>
      <c r="G127" s="54">
        <v>2023</v>
      </c>
      <c r="H127" s="56">
        <v>3310</v>
      </c>
      <c r="I127" s="55" t="s">
        <v>178</v>
      </c>
    </row>
    <row r="128" spans="1:9">
      <c r="A128" s="59"/>
      <c r="B128" s="59"/>
      <c r="C128" s="12">
        <v>19</v>
      </c>
      <c r="D128" s="31"/>
      <c r="E128" s="31" t="s">
        <v>6</v>
      </c>
      <c r="F128" s="31" t="s">
        <v>9</v>
      </c>
      <c r="G128" s="54">
        <v>2023</v>
      </c>
      <c r="H128" s="56">
        <v>3410</v>
      </c>
      <c r="I128" s="55" t="s">
        <v>195</v>
      </c>
    </row>
    <row r="129" spans="1:9">
      <c r="A129" s="59"/>
      <c r="B129" s="59"/>
      <c r="C129" s="12">
        <v>20</v>
      </c>
      <c r="D129" s="31"/>
      <c r="E129" s="31" t="s">
        <v>6</v>
      </c>
      <c r="F129" s="31" t="s">
        <v>9</v>
      </c>
      <c r="G129" s="54">
        <v>2023</v>
      </c>
      <c r="H129" s="56">
        <v>4580</v>
      </c>
      <c r="I129" s="55" t="s">
        <v>206</v>
      </c>
    </row>
    <row r="130" spans="1:9">
      <c r="A130" s="59"/>
      <c r="B130" s="59"/>
      <c r="C130" s="12">
        <v>21</v>
      </c>
      <c r="D130" s="31"/>
      <c r="E130" s="31" t="s">
        <v>6</v>
      </c>
      <c r="F130" s="31" t="s">
        <v>9</v>
      </c>
      <c r="G130" s="54">
        <v>2023</v>
      </c>
      <c r="H130" s="56">
        <v>3360</v>
      </c>
      <c r="I130" s="55" t="s">
        <v>209</v>
      </c>
    </row>
    <row r="131" spans="1:9">
      <c r="A131" s="59"/>
      <c r="B131" s="60"/>
      <c r="C131" s="17" t="s">
        <v>232</v>
      </c>
      <c r="D131" s="17"/>
      <c r="E131" s="17"/>
      <c r="F131" s="17"/>
      <c r="G131" s="17"/>
      <c r="H131" s="57">
        <f>SUM(H110:H130)</f>
        <v>76050</v>
      </c>
      <c r="I131" s="34" t="s">
        <v>244</v>
      </c>
    </row>
    <row r="132" spans="1:9">
      <c r="A132" s="59"/>
      <c r="B132" s="58" t="s">
        <v>258</v>
      </c>
      <c r="C132" s="12">
        <v>1</v>
      </c>
      <c r="D132" s="31"/>
      <c r="E132" s="31" t="s">
        <v>6</v>
      </c>
      <c r="F132" s="31" t="s">
        <v>7</v>
      </c>
      <c r="G132" s="54">
        <v>2023</v>
      </c>
      <c r="H132" s="56">
        <v>1020</v>
      </c>
      <c r="I132" s="55" t="s">
        <v>16</v>
      </c>
    </row>
    <row r="133" spans="1:9">
      <c r="A133" s="59"/>
      <c r="B133" s="59"/>
      <c r="C133" s="12">
        <v>2</v>
      </c>
      <c r="D133" s="31"/>
      <c r="E133" s="31" t="s">
        <v>6</v>
      </c>
      <c r="F133" s="31" t="s">
        <v>7</v>
      </c>
      <c r="G133" s="54">
        <v>2023</v>
      </c>
      <c r="H133" s="56">
        <v>930</v>
      </c>
      <c r="I133" s="55" t="s">
        <v>90</v>
      </c>
    </row>
    <row r="134" spans="1:9">
      <c r="A134" s="59"/>
      <c r="B134" s="59"/>
      <c r="C134" s="12">
        <v>3</v>
      </c>
      <c r="D134" s="31"/>
      <c r="E134" s="31" t="s">
        <v>6</v>
      </c>
      <c r="F134" s="31" t="s">
        <v>7</v>
      </c>
      <c r="G134" s="54">
        <v>2023</v>
      </c>
      <c r="H134" s="56">
        <v>2340</v>
      </c>
      <c r="I134" s="55" t="s">
        <v>159</v>
      </c>
    </row>
    <row r="135" spans="1:9">
      <c r="A135" s="59"/>
      <c r="B135" s="59"/>
      <c r="C135" s="12">
        <v>4</v>
      </c>
      <c r="D135" s="31"/>
      <c r="E135" s="31" t="s">
        <v>6</v>
      </c>
      <c r="F135" s="31" t="s">
        <v>7</v>
      </c>
      <c r="G135" s="54">
        <v>2023</v>
      </c>
      <c r="H135" s="56">
        <v>1410</v>
      </c>
      <c r="I135" s="55" t="s">
        <v>175</v>
      </c>
    </row>
    <row r="136" spans="1:9">
      <c r="A136" s="59"/>
      <c r="B136" s="60"/>
      <c r="C136" s="17" t="s">
        <v>233</v>
      </c>
      <c r="D136" s="17"/>
      <c r="E136" s="17"/>
      <c r="F136" s="17"/>
      <c r="G136" s="17"/>
      <c r="H136" s="57">
        <f>SUM(H132:H135)</f>
        <v>5700</v>
      </c>
      <c r="I136" s="34" t="s">
        <v>245</v>
      </c>
    </row>
    <row r="137" spans="1:9">
      <c r="A137" s="59"/>
      <c r="B137" s="58" t="s">
        <v>259</v>
      </c>
      <c r="C137" s="12">
        <v>1</v>
      </c>
      <c r="D137" s="31"/>
      <c r="E137" s="31" t="s">
        <v>6</v>
      </c>
      <c r="F137" s="31" t="s">
        <v>8</v>
      </c>
      <c r="G137" s="54">
        <v>2023</v>
      </c>
      <c r="H137" s="56">
        <v>4660</v>
      </c>
      <c r="I137" s="55" t="s">
        <v>35</v>
      </c>
    </row>
    <row r="138" spans="1:9">
      <c r="A138" s="59"/>
      <c r="B138" s="59"/>
      <c r="C138" s="12">
        <v>2</v>
      </c>
      <c r="D138" s="31"/>
      <c r="E138" s="31" t="s">
        <v>6</v>
      </c>
      <c r="F138" s="31" t="s">
        <v>8</v>
      </c>
      <c r="G138" s="54">
        <v>2023</v>
      </c>
      <c r="H138" s="56">
        <v>4570</v>
      </c>
      <c r="I138" s="55" t="s">
        <v>46</v>
      </c>
    </row>
    <row r="139" spans="1:9">
      <c r="A139" s="59"/>
      <c r="B139" s="59"/>
      <c r="C139" s="12">
        <v>3</v>
      </c>
      <c r="D139" s="31"/>
      <c r="E139" s="31" t="s">
        <v>6</v>
      </c>
      <c r="F139" s="31" t="s">
        <v>8</v>
      </c>
      <c r="G139" s="54">
        <v>2023</v>
      </c>
      <c r="H139" s="56">
        <v>2750</v>
      </c>
      <c r="I139" s="55" t="s">
        <v>94</v>
      </c>
    </row>
    <row r="140" spans="1:9">
      <c r="A140" s="59"/>
      <c r="B140" s="59"/>
      <c r="C140" s="12">
        <v>4</v>
      </c>
      <c r="D140" s="31"/>
      <c r="E140" s="31" t="s">
        <v>6</v>
      </c>
      <c r="F140" s="31" t="s">
        <v>8</v>
      </c>
      <c r="G140" s="54">
        <v>2023</v>
      </c>
      <c r="H140" s="56">
        <v>4990</v>
      </c>
      <c r="I140" s="55" t="s">
        <v>129</v>
      </c>
    </row>
    <row r="141" spans="1:9">
      <c r="A141" s="59"/>
      <c r="B141" s="59"/>
      <c r="C141" s="12">
        <v>5</v>
      </c>
      <c r="D141" s="31"/>
      <c r="E141" s="31" t="s">
        <v>6</v>
      </c>
      <c r="F141" s="31" t="s">
        <v>8</v>
      </c>
      <c r="G141" s="54">
        <v>2023</v>
      </c>
      <c r="H141" s="56">
        <v>2700</v>
      </c>
      <c r="I141" s="55" t="s">
        <v>137</v>
      </c>
    </row>
    <row r="142" spans="1:9">
      <c r="A142" s="59"/>
      <c r="B142" s="59"/>
      <c r="C142" s="12">
        <v>6</v>
      </c>
      <c r="D142" s="31"/>
      <c r="E142" s="31" t="s">
        <v>6</v>
      </c>
      <c r="F142" s="31" t="s">
        <v>8</v>
      </c>
      <c r="G142" s="54">
        <v>2023</v>
      </c>
      <c r="H142" s="56">
        <v>2800</v>
      </c>
      <c r="I142" s="55" t="s">
        <v>138</v>
      </c>
    </row>
    <row r="143" spans="1:9">
      <c r="A143" s="59"/>
      <c r="B143" s="59"/>
      <c r="C143" s="12">
        <v>7</v>
      </c>
      <c r="D143" s="31"/>
      <c r="E143" s="31" t="s">
        <v>6</v>
      </c>
      <c r="F143" s="31" t="s">
        <v>8</v>
      </c>
      <c r="G143" s="54">
        <v>2023</v>
      </c>
      <c r="H143" s="56">
        <v>3170</v>
      </c>
      <c r="I143" s="55" t="s">
        <v>161</v>
      </c>
    </row>
    <row r="144" spans="1:9">
      <c r="A144" s="59"/>
      <c r="B144" s="59"/>
      <c r="C144" s="12">
        <v>8</v>
      </c>
      <c r="D144" s="31"/>
      <c r="E144" s="31" t="s">
        <v>6</v>
      </c>
      <c r="F144" s="31" t="s">
        <v>8</v>
      </c>
      <c r="G144" s="54">
        <v>2023</v>
      </c>
      <c r="H144" s="56">
        <v>2700</v>
      </c>
      <c r="I144" s="55" t="s">
        <v>196</v>
      </c>
    </row>
    <row r="145" spans="1:9">
      <c r="A145" s="59"/>
      <c r="B145" s="60"/>
      <c r="C145" s="17" t="s">
        <v>234</v>
      </c>
      <c r="D145" s="17"/>
      <c r="E145" s="17"/>
      <c r="F145" s="17"/>
      <c r="G145" s="17"/>
      <c r="H145" s="57">
        <f>SUM(H137:H144)</f>
        <v>28340</v>
      </c>
      <c r="I145" s="34" t="s">
        <v>246</v>
      </c>
    </row>
    <row r="146" spans="1:9">
      <c r="A146" s="60"/>
      <c r="B146" s="61" t="s">
        <v>235</v>
      </c>
      <c r="C146" s="62"/>
      <c r="D146" s="62"/>
      <c r="E146" s="62"/>
      <c r="F146" s="62"/>
      <c r="G146" s="63"/>
      <c r="H146" s="36">
        <f>SUM(H145,H136,H131)</f>
        <v>110090</v>
      </c>
      <c r="I146" s="37" t="s">
        <v>253</v>
      </c>
    </row>
    <row r="147" spans="1:9">
      <c r="A147" s="58" t="s">
        <v>261</v>
      </c>
      <c r="B147" s="58" t="s">
        <v>257</v>
      </c>
      <c r="C147" s="12">
        <v>1</v>
      </c>
      <c r="D147" s="31"/>
      <c r="E147" s="31" t="s">
        <v>6</v>
      </c>
      <c r="F147" s="31" t="s">
        <v>9</v>
      </c>
      <c r="G147" s="54">
        <v>2024</v>
      </c>
      <c r="H147" s="56">
        <v>4020</v>
      </c>
      <c r="I147" s="55" t="s">
        <v>26</v>
      </c>
    </row>
    <row r="148" spans="1:9">
      <c r="A148" s="59"/>
      <c r="B148" s="59"/>
      <c r="C148" s="12">
        <v>2</v>
      </c>
      <c r="D148" s="31"/>
      <c r="E148" s="31" t="s">
        <v>6</v>
      </c>
      <c r="F148" s="31" t="s">
        <v>9</v>
      </c>
      <c r="G148" s="54">
        <v>2024</v>
      </c>
      <c r="H148" s="56">
        <v>6460</v>
      </c>
      <c r="I148" s="55" t="s">
        <v>44</v>
      </c>
    </row>
    <row r="149" spans="1:9">
      <c r="A149" s="59"/>
      <c r="B149" s="59"/>
      <c r="C149" s="12">
        <v>3</v>
      </c>
      <c r="D149" s="31"/>
      <c r="E149" s="31" t="s">
        <v>6</v>
      </c>
      <c r="F149" s="31" t="s">
        <v>9</v>
      </c>
      <c r="G149" s="54">
        <v>2024</v>
      </c>
      <c r="H149" s="56">
        <v>3210</v>
      </c>
      <c r="I149" s="55" t="s">
        <v>45</v>
      </c>
    </row>
    <row r="150" spans="1:9">
      <c r="A150" s="59"/>
      <c r="B150" s="59"/>
      <c r="C150" s="12">
        <v>4</v>
      </c>
      <c r="D150" s="31"/>
      <c r="E150" s="31" t="s">
        <v>6</v>
      </c>
      <c r="F150" s="31" t="s">
        <v>9</v>
      </c>
      <c r="G150" s="54">
        <v>2024</v>
      </c>
      <c r="H150" s="56">
        <v>1690</v>
      </c>
      <c r="I150" s="55" t="s">
        <v>69</v>
      </c>
    </row>
    <row r="151" spans="1:9">
      <c r="A151" s="59"/>
      <c r="B151" s="59"/>
      <c r="C151" s="12">
        <v>5</v>
      </c>
      <c r="D151" s="31"/>
      <c r="E151" s="31" t="s">
        <v>6</v>
      </c>
      <c r="F151" s="31" t="s">
        <v>9</v>
      </c>
      <c r="G151" s="54">
        <v>2024</v>
      </c>
      <c r="H151" s="56">
        <v>3450</v>
      </c>
      <c r="I151" s="55" t="s">
        <v>72</v>
      </c>
    </row>
    <row r="152" spans="1:9">
      <c r="A152" s="59"/>
      <c r="B152" s="59"/>
      <c r="C152" s="12">
        <v>6</v>
      </c>
      <c r="D152" s="31"/>
      <c r="E152" s="31" t="s">
        <v>6</v>
      </c>
      <c r="F152" s="31" t="s">
        <v>9</v>
      </c>
      <c r="G152" s="54">
        <v>2024</v>
      </c>
      <c r="H152" s="56">
        <v>2400</v>
      </c>
      <c r="I152" s="55" t="s">
        <v>109</v>
      </c>
    </row>
    <row r="153" spans="1:9">
      <c r="A153" s="59"/>
      <c r="B153" s="59"/>
      <c r="C153" s="12">
        <v>7</v>
      </c>
      <c r="D153" s="31"/>
      <c r="E153" s="31" t="s">
        <v>6</v>
      </c>
      <c r="F153" s="31" t="s">
        <v>9</v>
      </c>
      <c r="G153" s="54">
        <v>2024</v>
      </c>
      <c r="H153" s="56">
        <v>3200</v>
      </c>
      <c r="I153" s="55" t="s">
        <v>116</v>
      </c>
    </row>
    <row r="154" spans="1:9">
      <c r="A154" s="59"/>
      <c r="B154" s="59"/>
      <c r="C154" s="12">
        <v>8</v>
      </c>
      <c r="D154" s="31"/>
      <c r="E154" s="31" t="s">
        <v>6</v>
      </c>
      <c r="F154" s="31" t="s">
        <v>9</v>
      </c>
      <c r="G154" s="54">
        <v>2024</v>
      </c>
      <c r="H154" s="56">
        <v>1900</v>
      </c>
      <c r="I154" s="55" t="s">
        <v>121</v>
      </c>
    </row>
    <row r="155" spans="1:9">
      <c r="A155" s="59"/>
      <c r="B155" s="59"/>
      <c r="C155" s="12">
        <v>9</v>
      </c>
      <c r="D155" s="31"/>
      <c r="E155" s="31" t="s">
        <v>6</v>
      </c>
      <c r="F155" s="31" t="s">
        <v>9</v>
      </c>
      <c r="G155" s="54">
        <v>2024</v>
      </c>
      <c r="H155" s="56">
        <v>2490</v>
      </c>
      <c r="I155" s="55" t="s">
        <v>163</v>
      </c>
    </row>
    <row r="156" spans="1:9">
      <c r="A156" s="59"/>
      <c r="B156" s="59"/>
      <c r="C156" s="12">
        <v>10</v>
      </c>
      <c r="D156" s="31"/>
      <c r="E156" s="31" t="s">
        <v>6</v>
      </c>
      <c r="F156" s="31" t="s">
        <v>9</v>
      </c>
      <c r="G156" s="54">
        <v>2024</v>
      </c>
      <c r="H156" s="56">
        <v>1610</v>
      </c>
      <c r="I156" s="55" t="s">
        <v>167</v>
      </c>
    </row>
    <row r="157" spans="1:9">
      <c r="A157" s="59"/>
      <c r="B157" s="59"/>
      <c r="C157" s="12">
        <v>11</v>
      </c>
      <c r="D157" s="31"/>
      <c r="E157" s="31" t="s">
        <v>6</v>
      </c>
      <c r="F157" s="31" t="s">
        <v>9</v>
      </c>
      <c r="G157" s="54">
        <v>2024</v>
      </c>
      <c r="H157" s="56">
        <v>1500</v>
      </c>
      <c r="I157" s="55" t="s">
        <v>180</v>
      </c>
    </row>
    <row r="158" spans="1:9">
      <c r="A158" s="59"/>
      <c r="B158" s="59"/>
      <c r="C158" s="12">
        <v>12</v>
      </c>
      <c r="D158" s="31"/>
      <c r="E158" s="31" t="s">
        <v>6</v>
      </c>
      <c r="F158" s="31" t="s">
        <v>9</v>
      </c>
      <c r="G158" s="54">
        <v>2024</v>
      </c>
      <c r="H158" s="56">
        <v>1300</v>
      </c>
      <c r="I158" s="55" t="s">
        <v>193</v>
      </c>
    </row>
    <row r="159" spans="1:9">
      <c r="A159" s="59"/>
      <c r="B159" s="60"/>
      <c r="C159" s="17" t="s">
        <v>240</v>
      </c>
      <c r="D159" s="17"/>
      <c r="E159" s="17"/>
      <c r="F159" s="17"/>
      <c r="G159" s="17"/>
      <c r="H159" s="57">
        <f>SUM(H147:H158)</f>
        <v>33230</v>
      </c>
      <c r="I159" s="34" t="s">
        <v>251</v>
      </c>
    </row>
    <row r="160" spans="1:9">
      <c r="A160" s="59"/>
      <c r="B160" s="58" t="s">
        <v>258</v>
      </c>
      <c r="C160" s="12">
        <v>1</v>
      </c>
      <c r="D160" s="31"/>
      <c r="E160" s="31" t="s">
        <v>6</v>
      </c>
      <c r="F160" s="31" t="s">
        <v>7</v>
      </c>
      <c r="G160" s="54">
        <v>2024</v>
      </c>
      <c r="H160" s="56">
        <v>1370</v>
      </c>
      <c r="I160" s="55" t="s">
        <v>512</v>
      </c>
    </row>
    <row r="161" spans="1:9">
      <c r="A161" s="59"/>
      <c r="B161" s="59"/>
      <c r="C161" s="12">
        <v>2</v>
      </c>
      <c r="D161" s="31"/>
      <c r="E161" s="31" t="s">
        <v>6</v>
      </c>
      <c r="F161" s="31" t="s">
        <v>7</v>
      </c>
      <c r="G161" s="54">
        <v>2024</v>
      </c>
      <c r="H161" s="56">
        <v>2350</v>
      </c>
      <c r="I161" s="55" t="s">
        <v>109</v>
      </c>
    </row>
    <row r="162" spans="1:9">
      <c r="A162" s="59"/>
      <c r="B162" s="59"/>
      <c r="C162" s="12">
        <v>3</v>
      </c>
      <c r="D162" s="31"/>
      <c r="E162" s="31" t="s">
        <v>6</v>
      </c>
      <c r="F162" s="31" t="s">
        <v>7</v>
      </c>
      <c r="G162" s="54">
        <v>2024</v>
      </c>
      <c r="H162" s="56">
        <v>2500</v>
      </c>
      <c r="I162" s="55" t="s">
        <v>158</v>
      </c>
    </row>
    <row r="163" spans="1:9">
      <c r="A163" s="59"/>
      <c r="B163" s="59"/>
      <c r="C163" s="12">
        <v>4</v>
      </c>
      <c r="D163" s="31"/>
      <c r="E163" s="31" t="s">
        <v>6</v>
      </c>
      <c r="F163" s="31" t="s">
        <v>7</v>
      </c>
      <c r="G163" s="54">
        <v>2024</v>
      </c>
      <c r="H163" s="56">
        <v>700</v>
      </c>
      <c r="I163" s="55" t="s">
        <v>158</v>
      </c>
    </row>
    <row r="164" spans="1:9">
      <c r="A164" s="59"/>
      <c r="B164" s="59"/>
      <c r="C164" s="12">
        <v>5</v>
      </c>
      <c r="D164" s="31"/>
      <c r="E164" s="31" t="s">
        <v>6</v>
      </c>
      <c r="F164" s="31" t="s">
        <v>7</v>
      </c>
      <c r="G164" s="54">
        <v>2024</v>
      </c>
      <c r="H164" s="56">
        <v>1040</v>
      </c>
      <c r="I164" s="55" t="s">
        <v>181</v>
      </c>
    </row>
    <row r="165" spans="1:9">
      <c r="A165" s="59"/>
      <c r="B165" s="59"/>
      <c r="C165" s="12">
        <v>6</v>
      </c>
      <c r="D165" s="31"/>
      <c r="E165" s="31" t="s">
        <v>6</v>
      </c>
      <c r="F165" s="31" t="s">
        <v>7</v>
      </c>
      <c r="G165" s="54">
        <v>2024</v>
      </c>
      <c r="H165" s="56">
        <v>530</v>
      </c>
      <c r="I165" s="55" t="s">
        <v>194</v>
      </c>
    </row>
    <row r="166" spans="1:9">
      <c r="A166" s="59"/>
      <c r="B166" s="60"/>
      <c r="C166" s="17" t="s">
        <v>241</v>
      </c>
      <c r="D166" s="17"/>
      <c r="E166" s="17"/>
      <c r="F166" s="17"/>
      <c r="G166" s="17"/>
      <c r="H166" s="57">
        <f>SUM(H160:H165)</f>
        <v>8490</v>
      </c>
      <c r="I166" s="34" t="s">
        <v>246</v>
      </c>
    </row>
    <row r="167" spans="1:9">
      <c r="A167" s="59"/>
      <c r="B167" s="58" t="s">
        <v>259</v>
      </c>
      <c r="C167" s="12">
        <v>1</v>
      </c>
      <c r="D167" s="31"/>
      <c r="E167" s="31" t="s">
        <v>6</v>
      </c>
      <c r="F167" s="31" t="s">
        <v>8</v>
      </c>
      <c r="G167" s="54">
        <v>2024</v>
      </c>
      <c r="H167" s="56">
        <v>3000</v>
      </c>
      <c r="I167" s="55" t="s">
        <v>14</v>
      </c>
    </row>
    <row r="168" spans="1:9">
      <c r="A168" s="59"/>
      <c r="B168" s="59"/>
      <c r="C168" s="12">
        <v>2</v>
      </c>
      <c r="D168" s="31"/>
      <c r="E168" s="31" t="s">
        <v>6</v>
      </c>
      <c r="F168" s="31" t="s">
        <v>8</v>
      </c>
      <c r="G168" s="54">
        <v>2024</v>
      </c>
      <c r="H168" s="56">
        <v>3160</v>
      </c>
      <c r="I168" s="55" t="s">
        <v>15</v>
      </c>
    </row>
    <row r="169" spans="1:9">
      <c r="A169" s="59"/>
      <c r="B169" s="59"/>
      <c r="C169" s="12">
        <v>3</v>
      </c>
      <c r="D169" s="31"/>
      <c r="E169" s="31" t="s">
        <v>6</v>
      </c>
      <c r="F169" s="31" t="s">
        <v>8</v>
      </c>
      <c r="G169" s="54">
        <v>2024</v>
      </c>
      <c r="H169" s="56">
        <v>1660</v>
      </c>
      <c r="I169" s="55" t="s">
        <v>15</v>
      </c>
    </row>
    <row r="170" spans="1:9">
      <c r="A170" s="59"/>
      <c r="B170" s="59"/>
      <c r="C170" s="12">
        <v>4</v>
      </c>
      <c r="D170" s="31"/>
      <c r="E170" s="31" t="s">
        <v>6</v>
      </c>
      <c r="F170" s="31" t="s">
        <v>8</v>
      </c>
      <c r="G170" s="54">
        <v>2024</v>
      </c>
      <c r="H170" s="56">
        <v>4650</v>
      </c>
      <c r="I170" s="55" t="s">
        <v>19</v>
      </c>
    </row>
    <row r="171" spans="1:9">
      <c r="A171" s="59"/>
      <c r="B171" s="59"/>
      <c r="C171" s="12">
        <v>5</v>
      </c>
      <c r="D171" s="31"/>
      <c r="E171" s="31" t="s">
        <v>6</v>
      </c>
      <c r="F171" s="31" t="s">
        <v>8</v>
      </c>
      <c r="G171" s="54">
        <v>2024</v>
      </c>
      <c r="H171" s="56">
        <v>5310</v>
      </c>
      <c r="I171" s="55" t="s">
        <v>47</v>
      </c>
    </row>
    <row r="172" spans="1:9">
      <c r="A172" s="59"/>
      <c r="B172" s="59"/>
      <c r="C172" s="12">
        <v>6</v>
      </c>
      <c r="D172" s="31"/>
      <c r="E172" s="31" t="s">
        <v>6</v>
      </c>
      <c r="F172" s="31" t="s">
        <v>8</v>
      </c>
      <c r="G172" s="54">
        <v>2024</v>
      </c>
      <c r="H172" s="56">
        <v>4990</v>
      </c>
      <c r="I172" s="55" t="s">
        <v>91</v>
      </c>
    </row>
    <row r="173" spans="1:9">
      <c r="A173" s="59"/>
      <c r="B173" s="59"/>
      <c r="C173" s="12">
        <v>7</v>
      </c>
      <c r="D173" s="31"/>
      <c r="E173" s="31" t="s">
        <v>6</v>
      </c>
      <c r="F173" s="31" t="s">
        <v>8</v>
      </c>
      <c r="G173" s="54">
        <v>2024</v>
      </c>
      <c r="H173" s="56">
        <v>2560</v>
      </c>
      <c r="I173" s="55" t="s">
        <v>92</v>
      </c>
    </row>
    <row r="174" spans="1:9">
      <c r="A174" s="59"/>
      <c r="B174" s="59"/>
      <c r="C174" s="12">
        <v>8</v>
      </c>
      <c r="D174" s="31"/>
      <c r="E174" s="31" t="s">
        <v>6</v>
      </c>
      <c r="F174" s="31" t="s">
        <v>8</v>
      </c>
      <c r="G174" s="54">
        <v>2024</v>
      </c>
      <c r="H174" s="56">
        <v>4050</v>
      </c>
      <c r="I174" s="55" t="s">
        <v>93</v>
      </c>
    </row>
    <row r="175" spans="1:9">
      <c r="A175" s="59"/>
      <c r="B175" s="59"/>
      <c r="C175" s="12">
        <v>9</v>
      </c>
      <c r="D175" s="31"/>
      <c r="E175" s="31" t="s">
        <v>6</v>
      </c>
      <c r="F175" s="31" t="s">
        <v>8</v>
      </c>
      <c r="G175" s="54">
        <v>2024</v>
      </c>
      <c r="H175" s="56">
        <v>3830</v>
      </c>
      <c r="I175" s="55" t="s">
        <v>100</v>
      </c>
    </row>
    <row r="176" spans="1:9">
      <c r="A176" s="59"/>
      <c r="B176" s="59"/>
      <c r="C176" s="12">
        <v>10</v>
      </c>
      <c r="D176" s="31"/>
      <c r="E176" s="31" t="s">
        <v>6</v>
      </c>
      <c r="F176" s="31" t="s">
        <v>8</v>
      </c>
      <c r="G176" s="54">
        <v>2024</v>
      </c>
      <c r="H176" s="56">
        <v>3060</v>
      </c>
      <c r="I176" s="55" t="s">
        <v>107</v>
      </c>
    </row>
    <row r="177" spans="1:9">
      <c r="A177" s="59"/>
      <c r="B177" s="59"/>
      <c r="C177" s="12">
        <v>11</v>
      </c>
      <c r="D177" s="31"/>
      <c r="E177" s="31" t="s">
        <v>6</v>
      </c>
      <c r="F177" s="31" t="s">
        <v>8</v>
      </c>
      <c r="G177" s="54">
        <v>2024</v>
      </c>
      <c r="H177" s="56">
        <v>2930</v>
      </c>
      <c r="I177" s="55" t="s">
        <v>128</v>
      </c>
    </row>
    <row r="178" spans="1:9">
      <c r="A178" s="59"/>
      <c r="B178" s="59"/>
      <c r="C178" s="12">
        <v>12</v>
      </c>
      <c r="D178" s="31"/>
      <c r="E178" s="31" t="s">
        <v>6</v>
      </c>
      <c r="F178" s="31" t="s">
        <v>8</v>
      </c>
      <c r="G178" s="54">
        <v>2024</v>
      </c>
      <c r="H178" s="56">
        <v>1520</v>
      </c>
      <c r="I178" s="55" t="s">
        <v>134</v>
      </c>
    </row>
    <row r="179" spans="1:9">
      <c r="A179" s="59"/>
      <c r="B179" s="59"/>
      <c r="C179" s="12">
        <v>13</v>
      </c>
      <c r="D179" s="31"/>
      <c r="E179" s="31" t="s">
        <v>6</v>
      </c>
      <c r="F179" s="31" t="s">
        <v>8</v>
      </c>
      <c r="G179" s="54">
        <v>2024</v>
      </c>
      <c r="H179" s="56">
        <v>400</v>
      </c>
      <c r="I179" s="55" t="s">
        <v>134</v>
      </c>
    </row>
    <row r="180" spans="1:9">
      <c r="A180" s="59"/>
      <c r="B180" s="59"/>
      <c r="C180" s="12">
        <v>14</v>
      </c>
      <c r="D180" s="31"/>
      <c r="E180" s="31" t="s">
        <v>6</v>
      </c>
      <c r="F180" s="31" t="s">
        <v>8</v>
      </c>
      <c r="G180" s="54">
        <v>2024</v>
      </c>
      <c r="H180" s="56">
        <v>1000</v>
      </c>
      <c r="I180" s="55" t="s">
        <v>134</v>
      </c>
    </row>
    <row r="181" spans="1:9">
      <c r="A181" s="59"/>
      <c r="B181" s="59"/>
      <c r="C181" s="12">
        <v>15</v>
      </c>
      <c r="D181" s="31"/>
      <c r="E181" s="31" t="s">
        <v>6</v>
      </c>
      <c r="F181" s="31" t="s">
        <v>8</v>
      </c>
      <c r="G181" s="54">
        <v>2024</v>
      </c>
      <c r="H181" s="56">
        <v>3260</v>
      </c>
      <c r="I181" s="55" t="s">
        <v>136</v>
      </c>
    </row>
    <row r="182" spans="1:9">
      <c r="A182" s="59"/>
      <c r="B182" s="59"/>
      <c r="C182" s="12">
        <v>16</v>
      </c>
      <c r="D182" s="31"/>
      <c r="E182" s="31" t="s">
        <v>6</v>
      </c>
      <c r="F182" s="31" t="s">
        <v>8</v>
      </c>
      <c r="G182" s="54">
        <v>2024</v>
      </c>
      <c r="H182" s="56">
        <v>6170</v>
      </c>
      <c r="I182" s="55" t="s">
        <v>170</v>
      </c>
    </row>
    <row r="183" spans="1:9">
      <c r="A183" s="59"/>
      <c r="B183" s="59"/>
      <c r="C183" s="12">
        <v>17</v>
      </c>
      <c r="D183" s="31"/>
      <c r="E183" s="31" t="s">
        <v>6</v>
      </c>
      <c r="F183" s="31" t="s">
        <v>8</v>
      </c>
      <c r="G183" s="54">
        <v>2024</v>
      </c>
      <c r="H183" s="56">
        <v>2540</v>
      </c>
      <c r="I183" s="55" t="s">
        <v>189</v>
      </c>
    </row>
    <row r="184" spans="1:9">
      <c r="A184" s="59"/>
      <c r="B184" s="60"/>
      <c r="C184" s="17" t="s">
        <v>242</v>
      </c>
      <c r="D184" s="17"/>
      <c r="E184" s="17"/>
      <c r="F184" s="17"/>
      <c r="G184" s="17"/>
      <c r="H184" s="57">
        <f>SUM(H167:H183)</f>
        <v>54090</v>
      </c>
      <c r="I184" s="34" t="s">
        <v>224</v>
      </c>
    </row>
    <row r="185" spans="1:9">
      <c r="A185" s="60"/>
      <c r="B185" s="61" t="s">
        <v>243</v>
      </c>
      <c r="C185" s="62"/>
      <c r="D185" s="62"/>
      <c r="E185" s="62"/>
      <c r="F185" s="62"/>
      <c r="G185" s="63"/>
      <c r="H185" s="36">
        <f>SUM(H184,H175,H170)</f>
        <v>62570</v>
      </c>
      <c r="I185" s="37" t="s">
        <v>552</v>
      </c>
    </row>
    <row r="186" spans="1:9">
      <c r="A186" s="66" t="s">
        <v>263</v>
      </c>
      <c r="B186" s="58" t="s">
        <v>257</v>
      </c>
      <c r="C186" s="12">
        <v>1</v>
      </c>
      <c r="D186" s="31"/>
      <c r="E186" s="31" t="s">
        <v>6</v>
      </c>
      <c r="F186" s="31" t="s">
        <v>9</v>
      </c>
      <c r="G186" s="54">
        <v>2025</v>
      </c>
      <c r="H186" s="56">
        <v>6210</v>
      </c>
      <c r="I186" s="55" t="s">
        <v>513</v>
      </c>
    </row>
    <row r="187" spans="1:9">
      <c r="A187" s="67"/>
      <c r="B187" s="59"/>
      <c r="C187" s="12">
        <v>2</v>
      </c>
      <c r="D187" s="31"/>
      <c r="E187" s="31" t="s">
        <v>6</v>
      </c>
      <c r="F187" s="31" t="s">
        <v>9</v>
      </c>
      <c r="G187" s="54">
        <v>2025</v>
      </c>
      <c r="H187" s="56">
        <v>2880</v>
      </c>
      <c r="I187" s="55" t="s">
        <v>514</v>
      </c>
    </row>
    <row r="188" spans="1:9">
      <c r="A188" s="67"/>
      <c r="B188" s="59"/>
      <c r="C188" s="12">
        <v>3</v>
      </c>
      <c r="D188" s="31"/>
      <c r="E188" s="31" t="s">
        <v>6</v>
      </c>
      <c r="F188" s="31" t="s">
        <v>9</v>
      </c>
      <c r="G188" s="54">
        <v>2025</v>
      </c>
      <c r="H188" s="56">
        <v>3350</v>
      </c>
      <c r="I188" s="55" t="s">
        <v>515</v>
      </c>
    </row>
    <row r="189" spans="1:9">
      <c r="A189" s="67"/>
      <c r="B189" s="59"/>
      <c r="C189" s="12">
        <v>4</v>
      </c>
      <c r="D189" s="31"/>
      <c r="E189" s="31" t="s">
        <v>6</v>
      </c>
      <c r="F189" s="31" t="s">
        <v>9</v>
      </c>
      <c r="G189" s="54">
        <v>2025</v>
      </c>
      <c r="H189" s="56">
        <v>1980</v>
      </c>
      <c r="I189" s="55" t="s">
        <v>516</v>
      </c>
    </row>
    <row r="190" spans="1:9">
      <c r="A190" s="67"/>
      <c r="B190" s="59"/>
      <c r="C190" s="12">
        <v>5</v>
      </c>
      <c r="D190" s="31"/>
      <c r="E190" s="31" t="s">
        <v>6</v>
      </c>
      <c r="F190" s="31" t="s">
        <v>9</v>
      </c>
      <c r="G190" s="54">
        <v>2025</v>
      </c>
      <c r="H190" s="56">
        <v>1820</v>
      </c>
      <c r="I190" s="55" t="s">
        <v>517</v>
      </c>
    </row>
    <row r="191" spans="1:9">
      <c r="A191" s="67"/>
      <c r="B191" s="59"/>
      <c r="C191" s="12">
        <v>6</v>
      </c>
      <c r="D191" s="31"/>
      <c r="E191" s="31" t="s">
        <v>6</v>
      </c>
      <c r="F191" s="31" t="s">
        <v>9</v>
      </c>
      <c r="G191" s="54">
        <v>2025</v>
      </c>
      <c r="H191" s="56">
        <v>930</v>
      </c>
      <c r="I191" s="55" t="s">
        <v>518</v>
      </c>
    </row>
    <row r="192" spans="1:9">
      <c r="A192" s="67"/>
      <c r="B192" s="59"/>
      <c r="C192" s="12">
        <v>7</v>
      </c>
      <c r="D192" s="31"/>
      <c r="E192" s="31" t="s">
        <v>6</v>
      </c>
      <c r="F192" s="31" t="s">
        <v>9</v>
      </c>
      <c r="G192" s="54">
        <v>2025</v>
      </c>
      <c r="H192" s="56">
        <v>1790</v>
      </c>
      <c r="I192" s="55" t="s">
        <v>519</v>
      </c>
    </row>
    <row r="193" spans="1:9">
      <c r="A193" s="67"/>
      <c r="B193" s="59"/>
      <c r="C193" s="12">
        <v>8</v>
      </c>
      <c r="D193" s="31"/>
      <c r="E193" s="31" t="s">
        <v>6</v>
      </c>
      <c r="F193" s="31" t="s">
        <v>9</v>
      </c>
      <c r="G193" s="54">
        <v>2025</v>
      </c>
      <c r="H193" s="56">
        <v>3900</v>
      </c>
      <c r="I193" s="55" t="s">
        <v>520</v>
      </c>
    </row>
    <row r="194" spans="1:9">
      <c r="A194" s="67"/>
      <c r="B194" s="59"/>
      <c r="C194" s="12">
        <v>9</v>
      </c>
      <c r="D194" s="31"/>
      <c r="E194" s="31" t="s">
        <v>6</v>
      </c>
      <c r="F194" s="31" t="s">
        <v>9</v>
      </c>
      <c r="G194" s="54">
        <v>2025</v>
      </c>
      <c r="H194" s="56">
        <v>1530</v>
      </c>
      <c r="I194" s="55" t="s">
        <v>521</v>
      </c>
    </row>
    <row r="195" spans="1:9">
      <c r="A195" s="67"/>
      <c r="B195" s="59"/>
      <c r="C195" s="12">
        <v>10</v>
      </c>
      <c r="D195" s="31"/>
      <c r="E195" s="31" t="s">
        <v>6</v>
      </c>
      <c r="F195" s="31" t="s">
        <v>9</v>
      </c>
      <c r="G195" s="54">
        <v>2025</v>
      </c>
      <c r="H195" s="56">
        <v>1760</v>
      </c>
      <c r="I195" s="55" t="s">
        <v>522</v>
      </c>
    </row>
    <row r="196" spans="1:9">
      <c r="A196" s="67"/>
      <c r="B196" s="59"/>
      <c r="C196" s="12">
        <v>11</v>
      </c>
      <c r="D196" s="31"/>
      <c r="E196" s="31" t="s">
        <v>6</v>
      </c>
      <c r="F196" s="31" t="s">
        <v>9</v>
      </c>
      <c r="G196" s="54">
        <v>2025</v>
      </c>
      <c r="H196" s="56">
        <v>3670</v>
      </c>
      <c r="I196" s="55" t="s">
        <v>523</v>
      </c>
    </row>
    <row r="197" spans="1:9">
      <c r="A197" s="67"/>
      <c r="B197" s="59"/>
      <c r="C197" s="12">
        <v>12</v>
      </c>
      <c r="D197" s="31"/>
      <c r="E197" s="31" t="s">
        <v>6</v>
      </c>
      <c r="F197" s="31" t="s">
        <v>9</v>
      </c>
      <c r="G197" s="54">
        <v>2025</v>
      </c>
      <c r="H197" s="56">
        <v>2170</v>
      </c>
      <c r="I197" s="55" t="s">
        <v>524</v>
      </c>
    </row>
    <row r="198" spans="1:9">
      <c r="A198" s="67"/>
      <c r="B198" s="59"/>
      <c r="C198" s="12">
        <v>13</v>
      </c>
      <c r="D198" s="31"/>
      <c r="E198" s="31" t="s">
        <v>6</v>
      </c>
      <c r="F198" s="31" t="s">
        <v>9</v>
      </c>
      <c r="G198" s="54">
        <v>2025</v>
      </c>
      <c r="H198" s="56">
        <v>3030</v>
      </c>
      <c r="I198" s="55" t="s">
        <v>525</v>
      </c>
    </row>
    <row r="199" spans="1:9">
      <c r="A199" s="67"/>
      <c r="B199" s="59"/>
      <c r="C199" s="12">
        <v>14</v>
      </c>
      <c r="D199" s="31"/>
      <c r="E199" s="31" t="s">
        <v>6</v>
      </c>
      <c r="F199" s="31" t="s">
        <v>9</v>
      </c>
      <c r="G199" s="54">
        <v>2025</v>
      </c>
      <c r="H199" s="56">
        <v>2500</v>
      </c>
      <c r="I199" s="55" t="s">
        <v>526</v>
      </c>
    </row>
    <row r="200" spans="1:9">
      <c r="A200" s="67"/>
      <c r="B200" s="59"/>
      <c r="C200" s="12">
        <v>15</v>
      </c>
      <c r="D200" s="31"/>
      <c r="E200" s="31" t="s">
        <v>6</v>
      </c>
      <c r="F200" s="31" t="s">
        <v>9</v>
      </c>
      <c r="G200" s="54">
        <v>2025</v>
      </c>
      <c r="H200" s="56">
        <v>2690</v>
      </c>
      <c r="I200" s="55" t="s">
        <v>527</v>
      </c>
    </row>
    <row r="201" spans="1:9">
      <c r="A201" s="67"/>
      <c r="B201" s="60"/>
      <c r="C201" s="17" t="s">
        <v>247</v>
      </c>
      <c r="D201" s="17"/>
      <c r="E201" s="17"/>
      <c r="F201" s="17"/>
      <c r="G201" s="17"/>
      <c r="H201" s="57">
        <f>SUM(H186:H200)</f>
        <v>40210</v>
      </c>
      <c r="I201" s="34" t="s">
        <v>545</v>
      </c>
    </row>
    <row r="202" spans="1:9">
      <c r="A202" s="67"/>
      <c r="B202" s="58" t="s">
        <v>258</v>
      </c>
      <c r="C202" s="12">
        <v>1</v>
      </c>
      <c r="D202" s="31"/>
      <c r="E202" s="31" t="s">
        <v>6</v>
      </c>
      <c r="F202" s="31" t="s">
        <v>7</v>
      </c>
      <c r="G202" s="54">
        <v>2025</v>
      </c>
      <c r="H202" s="56">
        <v>1860</v>
      </c>
      <c r="I202" s="55" t="s">
        <v>528</v>
      </c>
    </row>
    <row r="203" spans="1:9">
      <c r="A203" s="67"/>
      <c r="B203" s="59"/>
      <c r="C203" s="12">
        <v>2</v>
      </c>
      <c r="D203" s="31"/>
      <c r="E203" s="31" t="s">
        <v>6</v>
      </c>
      <c r="F203" s="31" t="s">
        <v>7</v>
      </c>
      <c r="G203" s="54">
        <v>2025</v>
      </c>
      <c r="H203" s="56">
        <v>390</v>
      </c>
      <c r="I203" s="55" t="s">
        <v>529</v>
      </c>
    </row>
    <row r="204" spans="1:9">
      <c r="A204" s="67"/>
      <c r="B204" s="59"/>
      <c r="C204" s="12">
        <v>3</v>
      </c>
      <c r="D204" s="31"/>
      <c r="E204" s="31" t="s">
        <v>6</v>
      </c>
      <c r="F204" s="31" t="s">
        <v>7</v>
      </c>
      <c r="G204" s="54">
        <v>2025</v>
      </c>
      <c r="H204" s="56">
        <v>1800</v>
      </c>
      <c r="I204" s="55" t="s">
        <v>521</v>
      </c>
    </row>
    <row r="205" spans="1:9">
      <c r="A205" s="67"/>
      <c r="B205" s="59"/>
      <c r="C205" s="12">
        <v>4</v>
      </c>
      <c r="D205" s="31"/>
      <c r="E205" s="31" t="s">
        <v>6</v>
      </c>
      <c r="F205" s="31" t="s">
        <v>7</v>
      </c>
      <c r="G205" s="54">
        <v>2025</v>
      </c>
      <c r="H205" s="56">
        <v>1860</v>
      </c>
      <c r="I205" s="55" t="s">
        <v>530</v>
      </c>
    </row>
    <row r="206" spans="1:9">
      <c r="A206" s="67"/>
      <c r="B206" s="59"/>
      <c r="C206" s="12">
        <v>5</v>
      </c>
      <c r="D206" s="31"/>
      <c r="E206" s="31" t="s">
        <v>6</v>
      </c>
      <c r="F206" s="31" t="s">
        <v>7</v>
      </c>
      <c r="G206" s="54">
        <v>2025</v>
      </c>
      <c r="H206" s="56">
        <v>1870</v>
      </c>
      <c r="I206" s="55" t="s">
        <v>531</v>
      </c>
    </row>
    <row r="207" spans="1:9">
      <c r="A207" s="67"/>
      <c r="B207" s="60"/>
      <c r="C207" s="17" t="s">
        <v>248</v>
      </c>
      <c r="D207" s="17"/>
      <c r="E207" s="17"/>
      <c r="F207" s="17"/>
      <c r="G207" s="17"/>
      <c r="H207" s="57">
        <f>SUM(H202:H206)</f>
        <v>7780</v>
      </c>
      <c r="I207" s="34" t="s">
        <v>225</v>
      </c>
    </row>
    <row r="208" spans="1:9">
      <c r="A208" s="67"/>
      <c r="B208" s="58" t="s">
        <v>259</v>
      </c>
      <c r="C208" s="12">
        <v>1</v>
      </c>
      <c r="D208" s="31"/>
      <c r="E208" s="31" t="s">
        <v>6</v>
      </c>
      <c r="F208" s="31" t="s">
        <v>8</v>
      </c>
      <c r="G208" s="54">
        <v>2025</v>
      </c>
      <c r="H208" s="56">
        <v>4740</v>
      </c>
      <c r="I208" s="55" t="s">
        <v>532</v>
      </c>
    </row>
    <row r="209" spans="1:9">
      <c r="A209" s="67"/>
      <c r="B209" s="59"/>
      <c r="C209" s="12">
        <v>2</v>
      </c>
      <c r="D209" s="31"/>
      <c r="E209" s="31" t="s">
        <v>6</v>
      </c>
      <c r="F209" s="31" t="s">
        <v>8</v>
      </c>
      <c r="G209" s="54">
        <v>2025</v>
      </c>
      <c r="H209" s="56">
        <v>2460</v>
      </c>
      <c r="I209" s="55" t="s">
        <v>513</v>
      </c>
    </row>
    <row r="210" spans="1:9">
      <c r="A210" s="67"/>
      <c r="B210" s="59"/>
      <c r="C210" s="12">
        <v>3</v>
      </c>
      <c r="D210" s="31"/>
      <c r="E210" s="31" t="s">
        <v>6</v>
      </c>
      <c r="F210" s="31" t="s">
        <v>8</v>
      </c>
      <c r="G210" s="54">
        <v>2025</v>
      </c>
      <c r="H210" s="56">
        <v>1800</v>
      </c>
      <c r="I210" s="55" t="s">
        <v>533</v>
      </c>
    </row>
    <row r="211" spans="1:9">
      <c r="A211" s="67"/>
      <c r="B211" s="59"/>
      <c r="C211" s="12">
        <v>4</v>
      </c>
      <c r="D211" s="31"/>
      <c r="E211" s="31" t="s">
        <v>6</v>
      </c>
      <c r="F211" s="31" t="s">
        <v>8</v>
      </c>
      <c r="G211" s="54">
        <v>2025</v>
      </c>
      <c r="H211" s="56">
        <v>2280</v>
      </c>
      <c r="I211" s="55" t="s">
        <v>534</v>
      </c>
    </row>
    <row r="212" spans="1:9">
      <c r="A212" s="67"/>
      <c r="B212" s="59"/>
      <c r="C212" s="12">
        <v>5</v>
      </c>
      <c r="D212" s="31"/>
      <c r="E212" s="31" t="s">
        <v>6</v>
      </c>
      <c r="F212" s="31" t="s">
        <v>8</v>
      </c>
      <c r="G212" s="54">
        <v>2025</v>
      </c>
      <c r="H212" s="56">
        <v>3290</v>
      </c>
      <c r="I212" s="55" t="s">
        <v>535</v>
      </c>
    </row>
    <row r="213" spans="1:9">
      <c r="A213" s="67"/>
      <c r="B213" s="59"/>
      <c r="C213" s="12">
        <v>6</v>
      </c>
      <c r="D213" s="31"/>
      <c r="E213" s="31" t="s">
        <v>6</v>
      </c>
      <c r="F213" s="31" t="s">
        <v>8</v>
      </c>
      <c r="G213" s="54">
        <v>2025</v>
      </c>
      <c r="H213" s="56">
        <v>2730</v>
      </c>
      <c r="I213" s="55" t="s">
        <v>536</v>
      </c>
    </row>
    <row r="214" spans="1:9">
      <c r="A214" s="67"/>
      <c r="B214" s="59"/>
      <c r="C214" s="12">
        <v>7</v>
      </c>
      <c r="D214" s="31"/>
      <c r="E214" s="31" t="s">
        <v>6</v>
      </c>
      <c r="F214" s="31" t="s">
        <v>8</v>
      </c>
      <c r="G214" s="54">
        <v>2025</v>
      </c>
      <c r="H214" s="56">
        <v>4850</v>
      </c>
      <c r="I214" s="55" t="s">
        <v>537</v>
      </c>
    </row>
    <row r="215" spans="1:9">
      <c r="A215" s="67"/>
      <c r="B215" s="59"/>
      <c r="C215" s="12">
        <v>8</v>
      </c>
      <c r="D215" s="31"/>
      <c r="E215" s="31" t="s">
        <v>6</v>
      </c>
      <c r="F215" s="31" t="s">
        <v>8</v>
      </c>
      <c r="G215" s="54">
        <v>2025</v>
      </c>
      <c r="H215" s="56">
        <v>1790</v>
      </c>
      <c r="I215" s="55" t="s">
        <v>538</v>
      </c>
    </row>
    <row r="216" spans="1:9">
      <c r="A216" s="67"/>
      <c r="B216" s="59"/>
      <c r="C216" s="12">
        <v>9</v>
      </c>
      <c r="D216" s="31"/>
      <c r="E216" s="31" t="s">
        <v>6</v>
      </c>
      <c r="F216" s="31" t="s">
        <v>8</v>
      </c>
      <c r="G216" s="54">
        <v>2025</v>
      </c>
      <c r="H216" s="56">
        <v>3500</v>
      </c>
      <c r="I216" s="55" t="s">
        <v>539</v>
      </c>
    </row>
    <row r="217" spans="1:9">
      <c r="A217" s="67"/>
      <c r="B217" s="59"/>
      <c r="C217" s="12">
        <v>10</v>
      </c>
      <c r="D217" s="31"/>
      <c r="E217" s="31" t="s">
        <v>6</v>
      </c>
      <c r="F217" s="31" t="s">
        <v>8</v>
      </c>
      <c r="G217" s="54">
        <v>2025</v>
      </c>
      <c r="H217" s="56">
        <v>4050</v>
      </c>
      <c r="I217" s="55" t="s">
        <v>540</v>
      </c>
    </row>
    <row r="218" spans="1:9">
      <c r="A218" s="67"/>
      <c r="B218" s="59"/>
      <c r="C218" s="12">
        <v>11</v>
      </c>
      <c r="D218" s="31"/>
      <c r="E218" s="31" t="s">
        <v>6</v>
      </c>
      <c r="F218" s="31" t="s">
        <v>8</v>
      </c>
      <c r="G218" s="54">
        <v>2025</v>
      </c>
      <c r="H218" s="56">
        <v>3670</v>
      </c>
      <c r="I218" s="55" t="s">
        <v>541</v>
      </c>
    </row>
    <row r="219" spans="1:9">
      <c r="A219" s="67"/>
      <c r="B219" s="59"/>
      <c r="C219" s="12">
        <v>12</v>
      </c>
      <c r="D219" s="31"/>
      <c r="E219" s="31" t="s">
        <v>6</v>
      </c>
      <c r="F219" s="31" t="s">
        <v>8</v>
      </c>
      <c r="G219" s="54">
        <v>2025</v>
      </c>
      <c r="H219" s="56">
        <v>940</v>
      </c>
      <c r="I219" s="55" t="s">
        <v>542</v>
      </c>
    </row>
    <row r="220" spans="1:9">
      <c r="A220" s="67"/>
      <c r="B220" s="59"/>
      <c r="C220" s="12">
        <v>13</v>
      </c>
      <c r="D220" s="31"/>
      <c r="E220" s="31" t="s">
        <v>6</v>
      </c>
      <c r="F220" s="31" t="s">
        <v>8</v>
      </c>
      <c r="G220" s="54">
        <v>2025</v>
      </c>
      <c r="H220" s="56">
        <v>940</v>
      </c>
      <c r="I220" s="55" t="s">
        <v>542</v>
      </c>
    </row>
    <row r="221" spans="1:9">
      <c r="A221" s="67"/>
      <c r="B221" s="59"/>
      <c r="C221" s="12">
        <v>14</v>
      </c>
      <c r="D221" s="31"/>
      <c r="E221" s="31" t="s">
        <v>6</v>
      </c>
      <c r="F221" s="31" t="s">
        <v>8</v>
      </c>
      <c r="G221" s="54">
        <v>2025</v>
      </c>
      <c r="H221" s="56">
        <v>940</v>
      </c>
      <c r="I221" s="55" t="s">
        <v>542</v>
      </c>
    </row>
    <row r="222" spans="1:9">
      <c r="A222" s="67"/>
      <c r="B222" s="60"/>
      <c r="C222" s="17" t="s">
        <v>249</v>
      </c>
      <c r="D222" s="17"/>
      <c r="E222" s="17"/>
      <c r="F222" s="17"/>
      <c r="G222" s="17"/>
      <c r="H222" s="57">
        <f>SUM(H208:H221)</f>
        <v>37980</v>
      </c>
      <c r="I222" s="34" t="s">
        <v>252</v>
      </c>
    </row>
    <row r="223" spans="1:9">
      <c r="A223" s="67"/>
      <c r="B223" s="68" t="s">
        <v>250</v>
      </c>
      <c r="C223" s="69"/>
      <c r="D223" s="69"/>
      <c r="E223" s="69"/>
      <c r="F223" s="69"/>
      <c r="G223" s="70"/>
      <c r="H223" s="71">
        <f>SUM(H222,H207,H201)</f>
        <v>85970</v>
      </c>
      <c r="I223" s="72" t="s">
        <v>551</v>
      </c>
    </row>
    <row r="224" spans="1:9">
      <c r="A224" s="58" t="s">
        <v>553</v>
      </c>
      <c r="B224" s="42" t="s">
        <v>258</v>
      </c>
      <c r="C224" s="64">
        <v>1</v>
      </c>
      <c r="D224" s="31"/>
      <c r="E224" s="31" t="s">
        <v>558</v>
      </c>
      <c r="F224" s="31" t="s">
        <v>7</v>
      </c>
      <c r="G224" s="54">
        <v>2026</v>
      </c>
      <c r="H224" s="32">
        <v>190</v>
      </c>
      <c r="I224" s="33" t="s">
        <v>543</v>
      </c>
    </row>
    <row r="225" spans="1:9">
      <c r="A225" s="59"/>
      <c r="B225" s="42"/>
      <c r="C225" s="64">
        <v>2</v>
      </c>
      <c r="D225" s="31"/>
      <c r="E225" s="31" t="s">
        <v>558</v>
      </c>
      <c r="F225" s="31" t="s">
        <v>7</v>
      </c>
      <c r="G225" s="54">
        <v>2026</v>
      </c>
      <c r="H225" s="32">
        <v>740</v>
      </c>
      <c r="I225" s="33" t="s">
        <v>544</v>
      </c>
    </row>
    <row r="226" spans="1:9">
      <c r="A226" s="59"/>
      <c r="B226" s="42"/>
      <c r="C226" s="17" t="s">
        <v>554</v>
      </c>
      <c r="D226" s="17"/>
      <c r="E226" s="17"/>
      <c r="F226" s="17"/>
      <c r="G226" s="17"/>
      <c r="H226" s="57">
        <f>SUM(H224:H225)</f>
        <v>930</v>
      </c>
      <c r="I226" s="34" t="s">
        <v>555</v>
      </c>
    </row>
    <row r="227" spans="1:9">
      <c r="A227" s="60"/>
      <c r="B227" s="68" t="s">
        <v>556</v>
      </c>
      <c r="C227" s="69"/>
      <c r="D227" s="69"/>
      <c r="E227" s="69"/>
      <c r="F227" s="69"/>
      <c r="G227" s="70"/>
      <c r="H227" s="73">
        <v>930</v>
      </c>
      <c r="I227" s="74" t="s">
        <v>555</v>
      </c>
    </row>
    <row r="228" spans="1:9">
      <c r="A228" s="43" t="s">
        <v>506</v>
      </c>
      <c r="B228" s="43"/>
      <c r="C228" s="43"/>
      <c r="D228" s="43"/>
      <c r="E228" s="43"/>
      <c r="F228" s="43"/>
      <c r="G228" s="43"/>
      <c r="H228" s="39">
        <f>SUM(H226,H223,H185,H146,H109,H59)</f>
        <v>618020</v>
      </c>
      <c r="I228" s="40" t="s">
        <v>557</v>
      </c>
    </row>
  </sheetData>
  <mergeCells count="46">
    <mergeCell ref="C226:G226"/>
    <mergeCell ref="B224:B226"/>
    <mergeCell ref="A228:G228"/>
    <mergeCell ref="B227:G227"/>
    <mergeCell ref="A224:A227"/>
    <mergeCell ref="A147:A185"/>
    <mergeCell ref="B185:G185"/>
    <mergeCell ref="C222:G222"/>
    <mergeCell ref="A186:A223"/>
    <mergeCell ref="C201:G201"/>
    <mergeCell ref="B186:B201"/>
    <mergeCell ref="B202:B207"/>
    <mergeCell ref="C207:G207"/>
    <mergeCell ref="B208:B222"/>
    <mergeCell ref="B223:G223"/>
    <mergeCell ref="C159:G159"/>
    <mergeCell ref="C184:G184"/>
    <mergeCell ref="C166:G166"/>
    <mergeCell ref="B160:B166"/>
    <mergeCell ref="B147:B159"/>
    <mergeCell ref="B167:B184"/>
    <mergeCell ref="A60:A109"/>
    <mergeCell ref="B110:B131"/>
    <mergeCell ref="B132:B136"/>
    <mergeCell ref="B137:B145"/>
    <mergeCell ref="A110:A146"/>
    <mergeCell ref="C131:G131"/>
    <mergeCell ref="C136:G136"/>
    <mergeCell ref="C145:G145"/>
    <mergeCell ref="B146:G146"/>
    <mergeCell ref="C88:G88"/>
    <mergeCell ref="C90:G90"/>
    <mergeCell ref="C108:G108"/>
    <mergeCell ref="C109:G109"/>
    <mergeCell ref="B60:B88"/>
    <mergeCell ref="B89:B90"/>
    <mergeCell ref="B91:B108"/>
    <mergeCell ref="C25:G25"/>
    <mergeCell ref="B19:B25"/>
    <mergeCell ref="C58:G58"/>
    <mergeCell ref="B26:B58"/>
    <mergeCell ref="A3:A59"/>
    <mergeCell ref="C59:G59"/>
    <mergeCell ref="A1:I1"/>
    <mergeCell ref="B3:B18"/>
    <mergeCell ref="C18:G1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6"/>
  <sheetViews>
    <sheetView topLeftCell="A252" zoomScale="91" zoomScaleNormal="91" workbookViewId="0">
      <selection activeCell="A2" sqref="A2"/>
    </sheetView>
  </sheetViews>
  <sheetFormatPr defaultRowHeight="16.5"/>
  <cols>
    <col min="3" max="3" width="5.75" customWidth="1"/>
    <col min="4" max="4" width="9.25" style="1" customWidth="1"/>
    <col min="5" max="5" width="7.125" style="1" customWidth="1"/>
    <col min="6" max="6" width="17.125" style="1" customWidth="1"/>
    <col min="7" max="7" width="14.25" style="1" customWidth="1"/>
    <col min="8" max="8" width="8.875" style="2" customWidth="1"/>
    <col min="9" max="9" width="45.625" style="1" customWidth="1"/>
  </cols>
  <sheetData>
    <row r="1" spans="1:9" ht="19.5" customHeight="1">
      <c r="A1" s="5" t="s">
        <v>559</v>
      </c>
      <c r="B1" s="5"/>
      <c r="C1" s="5"/>
      <c r="D1" s="5"/>
      <c r="E1" s="5"/>
      <c r="F1" s="5"/>
      <c r="G1" s="5"/>
      <c r="H1" s="5"/>
      <c r="I1" s="5"/>
    </row>
    <row r="2" spans="1:9">
      <c r="A2" s="7" t="s">
        <v>256</v>
      </c>
      <c r="B2" s="7" t="s">
        <v>265</v>
      </c>
      <c r="C2" s="7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9" t="s">
        <v>264</v>
      </c>
      <c r="I2" s="28" t="s">
        <v>5</v>
      </c>
    </row>
    <row r="3" spans="1:9">
      <c r="A3" s="21" t="s">
        <v>255</v>
      </c>
      <c r="B3" s="21" t="s">
        <v>257</v>
      </c>
      <c r="C3" s="30">
        <v>1</v>
      </c>
      <c r="D3" s="3"/>
      <c r="E3" s="31" t="s">
        <v>6</v>
      </c>
      <c r="F3" s="31" t="s">
        <v>9</v>
      </c>
      <c r="G3" s="54">
        <v>2020</v>
      </c>
      <c r="H3" s="32">
        <v>1900</v>
      </c>
      <c r="I3" s="33" t="s">
        <v>17</v>
      </c>
    </row>
    <row r="4" spans="1:9">
      <c r="A4" s="21"/>
      <c r="B4" s="21"/>
      <c r="C4" s="30">
        <v>2</v>
      </c>
      <c r="D4" s="3"/>
      <c r="E4" s="31" t="s">
        <v>6</v>
      </c>
      <c r="F4" s="31" t="s">
        <v>9</v>
      </c>
      <c r="G4" s="54">
        <v>2020</v>
      </c>
      <c r="H4" s="32">
        <v>1890</v>
      </c>
      <c r="I4" s="33" t="s">
        <v>18</v>
      </c>
    </row>
    <row r="5" spans="1:9">
      <c r="A5" s="21"/>
      <c r="B5" s="21"/>
      <c r="C5" s="30">
        <v>3</v>
      </c>
      <c r="D5" s="3"/>
      <c r="E5" s="31" t="s">
        <v>6</v>
      </c>
      <c r="F5" s="31" t="s">
        <v>9</v>
      </c>
      <c r="G5" s="54">
        <v>2020</v>
      </c>
      <c r="H5" s="32">
        <v>3340</v>
      </c>
      <c r="I5" s="33" t="s">
        <v>30</v>
      </c>
    </row>
    <row r="6" spans="1:9">
      <c r="A6" s="21"/>
      <c r="B6" s="21"/>
      <c r="C6" s="30">
        <v>4</v>
      </c>
      <c r="D6" s="3"/>
      <c r="E6" s="31" t="s">
        <v>6</v>
      </c>
      <c r="F6" s="31" t="s">
        <v>9</v>
      </c>
      <c r="G6" s="54">
        <v>2020</v>
      </c>
      <c r="H6" s="32">
        <v>2140</v>
      </c>
      <c r="I6" s="33" t="s">
        <v>50</v>
      </c>
    </row>
    <row r="7" spans="1:9">
      <c r="A7" s="21"/>
      <c r="B7" s="21"/>
      <c r="C7" s="30">
        <v>5</v>
      </c>
      <c r="D7" s="3"/>
      <c r="E7" s="31" t="s">
        <v>6</v>
      </c>
      <c r="F7" s="31" t="s">
        <v>9</v>
      </c>
      <c r="G7" s="54">
        <v>2020</v>
      </c>
      <c r="H7" s="32">
        <v>3340</v>
      </c>
      <c r="I7" s="33" t="s">
        <v>75</v>
      </c>
    </row>
    <row r="8" spans="1:9">
      <c r="A8" s="21"/>
      <c r="B8" s="21"/>
      <c r="C8" s="30">
        <v>6</v>
      </c>
      <c r="D8" s="3"/>
      <c r="E8" s="31" t="s">
        <v>6</v>
      </c>
      <c r="F8" s="31" t="s">
        <v>9</v>
      </c>
      <c r="G8" s="54">
        <v>2020</v>
      </c>
      <c r="H8" s="32">
        <v>2340</v>
      </c>
      <c r="I8" s="33" t="s">
        <v>76</v>
      </c>
    </row>
    <row r="9" spans="1:9">
      <c r="A9" s="21"/>
      <c r="B9" s="21"/>
      <c r="C9" s="30">
        <v>7</v>
      </c>
      <c r="D9" s="3"/>
      <c r="E9" s="31" t="s">
        <v>6</v>
      </c>
      <c r="F9" s="31" t="s">
        <v>9</v>
      </c>
      <c r="G9" s="54">
        <v>2020</v>
      </c>
      <c r="H9" s="32">
        <v>1170</v>
      </c>
      <c r="I9" s="33" t="s">
        <v>84</v>
      </c>
    </row>
    <row r="10" spans="1:9">
      <c r="A10" s="21"/>
      <c r="B10" s="21"/>
      <c r="C10" s="30">
        <v>8</v>
      </c>
      <c r="D10" s="3"/>
      <c r="E10" s="31" t="s">
        <v>6</v>
      </c>
      <c r="F10" s="31" t="s">
        <v>9</v>
      </c>
      <c r="G10" s="54">
        <v>2020</v>
      </c>
      <c r="H10" s="32">
        <v>2000</v>
      </c>
      <c r="I10" s="33" t="s">
        <v>88</v>
      </c>
    </row>
    <row r="11" spans="1:9">
      <c r="A11" s="21"/>
      <c r="B11" s="21"/>
      <c r="C11" s="30">
        <v>9</v>
      </c>
      <c r="D11" s="3"/>
      <c r="E11" s="31" t="s">
        <v>6</v>
      </c>
      <c r="F11" s="31" t="s">
        <v>9</v>
      </c>
      <c r="G11" s="54">
        <v>2020</v>
      </c>
      <c r="H11" s="32">
        <v>4960</v>
      </c>
      <c r="I11" s="33" t="s">
        <v>96</v>
      </c>
    </row>
    <row r="12" spans="1:9">
      <c r="A12" s="21"/>
      <c r="B12" s="21"/>
      <c r="C12" s="30">
        <v>10</v>
      </c>
      <c r="D12" s="3"/>
      <c r="E12" s="31" t="s">
        <v>6</v>
      </c>
      <c r="F12" s="31" t="s">
        <v>9</v>
      </c>
      <c r="G12" s="54">
        <v>2020</v>
      </c>
      <c r="H12" s="32">
        <v>4510</v>
      </c>
      <c r="I12" s="33" t="s">
        <v>97</v>
      </c>
    </row>
    <row r="13" spans="1:9">
      <c r="A13" s="21"/>
      <c r="B13" s="21"/>
      <c r="C13" s="30">
        <v>11</v>
      </c>
      <c r="D13" s="3"/>
      <c r="E13" s="31" t="s">
        <v>6</v>
      </c>
      <c r="F13" s="31" t="s">
        <v>9</v>
      </c>
      <c r="G13" s="54">
        <v>2020</v>
      </c>
      <c r="H13" s="32">
        <v>2310</v>
      </c>
      <c r="I13" s="33" t="s">
        <v>98</v>
      </c>
    </row>
    <row r="14" spans="1:9">
      <c r="A14" s="21"/>
      <c r="B14" s="21"/>
      <c r="C14" s="30">
        <v>12</v>
      </c>
      <c r="D14" s="3"/>
      <c r="E14" s="31" t="s">
        <v>6</v>
      </c>
      <c r="F14" s="31" t="s">
        <v>9</v>
      </c>
      <c r="G14" s="54">
        <v>2020</v>
      </c>
      <c r="H14" s="32">
        <v>7070</v>
      </c>
      <c r="I14" s="33" t="s">
        <v>99</v>
      </c>
    </row>
    <row r="15" spans="1:9">
      <c r="A15" s="21"/>
      <c r="B15" s="21"/>
      <c r="C15" s="30">
        <v>13</v>
      </c>
      <c r="D15" s="3"/>
      <c r="E15" s="31" t="s">
        <v>6</v>
      </c>
      <c r="F15" s="31" t="s">
        <v>9</v>
      </c>
      <c r="G15" s="54">
        <v>2020</v>
      </c>
      <c r="H15" s="32">
        <v>4240</v>
      </c>
      <c r="I15" s="33" t="s">
        <v>110</v>
      </c>
    </row>
    <row r="16" spans="1:9">
      <c r="A16" s="21"/>
      <c r="B16" s="21"/>
      <c r="C16" s="30">
        <v>14</v>
      </c>
      <c r="D16" s="3"/>
      <c r="E16" s="31" t="s">
        <v>6</v>
      </c>
      <c r="F16" s="31" t="s">
        <v>9</v>
      </c>
      <c r="G16" s="54">
        <v>2020</v>
      </c>
      <c r="H16" s="32">
        <v>2720</v>
      </c>
      <c r="I16" s="33" t="s">
        <v>114</v>
      </c>
    </row>
    <row r="17" spans="1:9">
      <c r="A17" s="21"/>
      <c r="B17" s="21"/>
      <c r="C17" s="30">
        <v>15</v>
      </c>
      <c r="D17" s="3"/>
      <c r="E17" s="31" t="s">
        <v>6</v>
      </c>
      <c r="F17" s="31" t="s">
        <v>9</v>
      </c>
      <c r="G17" s="54">
        <v>2020</v>
      </c>
      <c r="H17" s="32">
        <v>5920</v>
      </c>
      <c r="I17" s="33" t="s">
        <v>143</v>
      </c>
    </row>
    <row r="18" spans="1:9">
      <c r="A18" s="21"/>
      <c r="B18" s="21"/>
      <c r="C18" s="30">
        <v>16</v>
      </c>
      <c r="D18" s="3"/>
      <c r="E18" s="31" t="s">
        <v>6</v>
      </c>
      <c r="F18" s="31" t="s">
        <v>9</v>
      </c>
      <c r="G18" s="54">
        <v>2020</v>
      </c>
      <c r="H18" s="32">
        <v>2600</v>
      </c>
      <c r="I18" s="33" t="s">
        <v>148</v>
      </c>
    </row>
    <row r="19" spans="1:9">
      <c r="A19" s="21"/>
      <c r="B19" s="21"/>
      <c r="C19" s="30">
        <v>17</v>
      </c>
      <c r="D19" s="3"/>
      <c r="E19" s="31" t="s">
        <v>6</v>
      </c>
      <c r="F19" s="31" t="s">
        <v>9</v>
      </c>
      <c r="G19" s="54">
        <v>2020</v>
      </c>
      <c r="H19" s="32">
        <v>3320</v>
      </c>
      <c r="I19" s="33" t="s">
        <v>162</v>
      </c>
    </row>
    <row r="20" spans="1:9">
      <c r="A20" s="21"/>
      <c r="B20" s="21"/>
      <c r="C20" s="30">
        <v>18</v>
      </c>
      <c r="D20" s="3"/>
      <c r="E20" s="31" t="s">
        <v>6</v>
      </c>
      <c r="F20" s="31" t="s">
        <v>9</v>
      </c>
      <c r="G20" s="54">
        <v>2020</v>
      </c>
      <c r="H20" s="32">
        <v>3790</v>
      </c>
      <c r="I20" s="33" t="s">
        <v>168</v>
      </c>
    </row>
    <row r="21" spans="1:9">
      <c r="A21" s="21"/>
      <c r="B21" s="21"/>
      <c r="C21" s="30">
        <v>19</v>
      </c>
      <c r="D21" s="3"/>
      <c r="E21" s="31" t="s">
        <v>6</v>
      </c>
      <c r="F21" s="31" t="s">
        <v>9</v>
      </c>
      <c r="G21" s="54">
        <v>2020</v>
      </c>
      <c r="H21" s="32">
        <v>4960</v>
      </c>
      <c r="I21" s="33" t="s">
        <v>197</v>
      </c>
    </row>
    <row r="22" spans="1:9">
      <c r="A22" s="21"/>
      <c r="B22" s="21"/>
      <c r="C22" s="30">
        <v>20</v>
      </c>
      <c r="D22" s="3"/>
      <c r="E22" s="31" t="s">
        <v>6</v>
      </c>
      <c r="F22" s="31" t="s">
        <v>9</v>
      </c>
      <c r="G22" s="54">
        <v>2020</v>
      </c>
      <c r="H22" s="32">
        <v>3890</v>
      </c>
      <c r="I22" s="33" t="s">
        <v>203</v>
      </c>
    </row>
    <row r="23" spans="1:9">
      <c r="A23" s="21"/>
      <c r="B23" s="21"/>
      <c r="C23" s="30">
        <v>21</v>
      </c>
      <c r="D23" s="3"/>
      <c r="E23" s="31" t="s">
        <v>6</v>
      </c>
      <c r="F23" s="31" t="s">
        <v>9</v>
      </c>
      <c r="G23" s="54">
        <v>2020</v>
      </c>
      <c r="H23" s="32">
        <v>9310</v>
      </c>
      <c r="I23" s="33" t="s">
        <v>210</v>
      </c>
    </row>
    <row r="24" spans="1:9">
      <c r="A24" s="21"/>
      <c r="B24" s="21"/>
      <c r="C24" s="30">
        <v>22</v>
      </c>
      <c r="D24" s="3"/>
      <c r="E24" s="31" t="s">
        <v>6</v>
      </c>
      <c r="F24" s="31" t="s">
        <v>9</v>
      </c>
      <c r="G24" s="54">
        <v>2020</v>
      </c>
      <c r="H24" s="32">
        <v>4490</v>
      </c>
      <c r="I24" s="33" t="s">
        <v>215</v>
      </c>
    </row>
    <row r="25" spans="1:9">
      <c r="A25" s="21"/>
      <c r="B25" s="21"/>
      <c r="C25" s="17" t="s">
        <v>216</v>
      </c>
      <c r="D25" s="17"/>
      <c r="E25" s="17"/>
      <c r="F25" s="17"/>
      <c r="G25" s="17"/>
      <c r="H25" s="18">
        <f>SUM(H3:H24)</f>
        <v>82210</v>
      </c>
      <c r="I25" s="34" t="s">
        <v>219</v>
      </c>
    </row>
    <row r="26" spans="1:9">
      <c r="A26" s="21"/>
      <c r="B26" s="21" t="s">
        <v>258</v>
      </c>
      <c r="C26" s="30">
        <v>1</v>
      </c>
      <c r="D26" s="3"/>
      <c r="E26" s="31" t="s">
        <v>6</v>
      </c>
      <c r="F26" s="31" t="s">
        <v>7</v>
      </c>
      <c r="G26" s="54">
        <v>2020</v>
      </c>
      <c r="H26" s="32">
        <v>1130</v>
      </c>
      <c r="I26" s="33" t="s">
        <v>43</v>
      </c>
    </row>
    <row r="27" spans="1:9">
      <c r="A27" s="21"/>
      <c r="B27" s="21"/>
      <c r="C27" s="30">
        <v>2</v>
      </c>
      <c r="D27" s="3"/>
      <c r="E27" s="31" t="s">
        <v>6</v>
      </c>
      <c r="F27" s="31" t="s">
        <v>7</v>
      </c>
      <c r="G27" s="54">
        <v>2020</v>
      </c>
      <c r="H27" s="32">
        <v>1440</v>
      </c>
      <c r="I27" s="33" t="s">
        <v>89</v>
      </c>
    </row>
    <row r="28" spans="1:9">
      <c r="A28" s="21"/>
      <c r="B28" s="21"/>
      <c r="C28" s="30">
        <v>3</v>
      </c>
      <c r="D28" s="3"/>
      <c r="E28" s="31" t="s">
        <v>10</v>
      </c>
      <c r="F28" s="31" t="s">
        <v>7</v>
      </c>
      <c r="G28" s="54">
        <v>2020</v>
      </c>
      <c r="H28" s="32">
        <v>2130</v>
      </c>
      <c r="I28" s="33" t="s">
        <v>184</v>
      </c>
    </row>
    <row r="29" spans="1:9">
      <c r="A29" s="21"/>
      <c r="B29" s="21"/>
      <c r="C29" s="17" t="s">
        <v>217</v>
      </c>
      <c r="D29" s="17"/>
      <c r="E29" s="17"/>
      <c r="F29" s="17"/>
      <c r="G29" s="17"/>
      <c r="H29" s="18">
        <f>SUM(H26:H28)</f>
        <v>4700</v>
      </c>
      <c r="I29" s="34" t="s">
        <v>220</v>
      </c>
    </row>
    <row r="30" spans="1:9">
      <c r="A30" s="21"/>
      <c r="B30" s="21" t="s">
        <v>259</v>
      </c>
      <c r="C30" s="30">
        <v>1</v>
      </c>
      <c r="D30" s="3"/>
      <c r="E30" s="31" t="s">
        <v>6</v>
      </c>
      <c r="F30" s="31" t="s">
        <v>8</v>
      </c>
      <c r="G30" s="54">
        <v>2020</v>
      </c>
      <c r="H30" s="32">
        <v>6350</v>
      </c>
      <c r="I30" s="33" t="s">
        <v>22</v>
      </c>
    </row>
    <row r="31" spans="1:9">
      <c r="A31" s="21"/>
      <c r="B31" s="21"/>
      <c r="C31" s="30">
        <v>2</v>
      </c>
      <c r="D31" s="3"/>
      <c r="E31" s="31" t="s">
        <v>6</v>
      </c>
      <c r="F31" s="31" t="s">
        <v>8</v>
      </c>
      <c r="G31" s="54">
        <v>2020</v>
      </c>
      <c r="H31" s="32">
        <v>1740</v>
      </c>
      <c r="I31" s="33" t="s">
        <v>32</v>
      </c>
    </row>
    <row r="32" spans="1:9">
      <c r="A32" s="21"/>
      <c r="B32" s="21"/>
      <c r="C32" s="30">
        <v>3</v>
      </c>
      <c r="D32" s="3"/>
      <c r="E32" s="31" t="s">
        <v>6</v>
      </c>
      <c r="F32" s="31" t="s">
        <v>8</v>
      </c>
      <c r="G32" s="54">
        <v>2020</v>
      </c>
      <c r="H32" s="32">
        <v>2510</v>
      </c>
      <c r="I32" s="33" t="s">
        <v>48</v>
      </c>
    </row>
    <row r="33" spans="1:9">
      <c r="A33" s="21"/>
      <c r="B33" s="21"/>
      <c r="C33" s="30">
        <v>4</v>
      </c>
      <c r="D33" s="3"/>
      <c r="E33" s="31" t="s">
        <v>6</v>
      </c>
      <c r="F33" s="31" t="s">
        <v>8</v>
      </c>
      <c r="G33" s="54">
        <v>2020</v>
      </c>
      <c r="H33" s="32">
        <v>2200</v>
      </c>
      <c r="I33" s="33" t="s">
        <v>49</v>
      </c>
    </row>
    <row r="34" spans="1:9">
      <c r="A34" s="21"/>
      <c r="B34" s="21"/>
      <c r="C34" s="30">
        <v>5</v>
      </c>
      <c r="D34" s="3"/>
      <c r="E34" s="31" t="s">
        <v>6</v>
      </c>
      <c r="F34" s="31" t="s">
        <v>8</v>
      </c>
      <c r="G34" s="54">
        <v>2020</v>
      </c>
      <c r="H34" s="32">
        <v>990</v>
      </c>
      <c r="I34" s="33" t="s">
        <v>53</v>
      </c>
    </row>
    <row r="35" spans="1:9">
      <c r="A35" s="21"/>
      <c r="B35" s="21"/>
      <c r="C35" s="30">
        <v>6</v>
      </c>
      <c r="D35" s="3"/>
      <c r="E35" s="31" t="s">
        <v>6</v>
      </c>
      <c r="F35" s="31" t="s">
        <v>8</v>
      </c>
      <c r="G35" s="54">
        <v>2020</v>
      </c>
      <c r="H35" s="32">
        <v>4210</v>
      </c>
      <c r="I35" s="33" t="s">
        <v>65</v>
      </c>
    </row>
    <row r="36" spans="1:9">
      <c r="A36" s="21"/>
      <c r="B36" s="21"/>
      <c r="C36" s="30">
        <v>7</v>
      </c>
      <c r="D36" s="3"/>
      <c r="E36" s="31" t="s">
        <v>6</v>
      </c>
      <c r="F36" s="31" t="s">
        <v>8</v>
      </c>
      <c r="G36" s="54">
        <v>2020</v>
      </c>
      <c r="H36" s="32">
        <v>5670</v>
      </c>
      <c r="I36" s="33" t="s">
        <v>67</v>
      </c>
    </row>
    <row r="37" spans="1:9">
      <c r="A37" s="21"/>
      <c r="B37" s="21"/>
      <c r="C37" s="30">
        <v>8</v>
      </c>
      <c r="D37" s="3"/>
      <c r="E37" s="31" t="s">
        <v>6</v>
      </c>
      <c r="F37" s="31" t="s">
        <v>8</v>
      </c>
      <c r="G37" s="54">
        <v>2020</v>
      </c>
      <c r="H37" s="32">
        <v>1190</v>
      </c>
      <c r="I37" s="33" t="s">
        <v>111</v>
      </c>
    </row>
    <row r="38" spans="1:9">
      <c r="A38" s="21"/>
      <c r="B38" s="21"/>
      <c r="C38" s="30">
        <v>9</v>
      </c>
      <c r="D38" s="3"/>
      <c r="E38" s="31" t="s">
        <v>6</v>
      </c>
      <c r="F38" s="31" t="s">
        <v>8</v>
      </c>
      <c r="G38" s="54">
        <v>2020</v>
      </c>
      <c r="H38" s="32">
        <v>5240</v>
      </c>
      <c r="I38" s="33" t="s">
        <v>119</v>
      </c>
    </row>
    <row r="39" spans="1:9">
      <c r="A39" s="21"/>
      <c r="B39" s="21"/>
      <c r="C39" s="30">
        <v>10</v>
      </c>
      <c r="D39" s="3"/>
      <c r="E39" s="31" t="s">
        <v>6</v>
      </c>
      <c r="F39" s="31" t="s">
        <v>8</v>
      </c>
      <c r="G39" s="54">
        <v>2020</v>
      </c>
      <c r="H39" s="32">
        <v>5100</v>
      </c>
      <c r="I39" s="33" t="s">
        <v>130</v>
      </c>
    </row>
    <row r="40" spans="1:9">
      <c r="A40" s="21"/>
      <c r="B40" s="21"/>
      <c r="C40" s="30">
        <v>11</v>
      </c>
      <c r="D40" s="3"/>
      <c r="E40" s="31" t="s">
        <v>6</v>
      </c>
      <c r="F40" s="31" t="s">
        <v>8</v>
      </c>
      <c r="G40" s="54">
        <v>2020</v>
      </c>
      <c r="H40" s="32">
        <v>6480</v>
      </c>
      <c r="I40" s="33" t="s">
        <v>132</v>
      </c>
    </row>
    <row r="41" spans="1:9">
      <c r="A41" s="21"/>
      <c r="B41" s="21"/>
      <c r="C41" s="30">
        <v>12</v>
      </c>
      <c r="D41" s="3"/>
      <c r="E41" s="31" t="s">
        <v>6</v>
      </c>
      <c r="F41" s="31" t="s">
        <v>8</v>
      </c>
      <c r="G41" s="54">
        <v>2020</v>
      </c>
      <c r="H41" s="32">
        <v>2760</v>
      </c>
      <c r="I41" s="33" t="s">
        <v>149</v>
      </c>
    </row>
    <row r="42" spans="1:9">
      <c r="A42" s="21"/>
      <c r="B42" s="21"/>
      <c r="C42" s="30">
        <v>13</v>
      </c>
      <c r="D42" s="3"/>
      <c r="E42" s="31" t="s">
        <v>6</v>
      </c>
      <c r="F42" s="31" t="s">
        <v>8</v>
      </c>
      <c r="G42" s="54">
        <v>2020</v>
      </c>
      <c r="H42" s="32">
        <v>7050</v>
      </c>
      <c r="I42" s="33" t="s">
        <v>151</v>
      </c>
    </row>
    <row r="43" spans="1:9">
      <c r="A43" s="21"/>
      <c r="B43" s="21"/>
      <c r="C43" s="30">
        <v>14</v>
      </c>
      <c r="D43" s="3"/>
      <c r="E43" s="31" t="s">
        <v>6</v>
      </c>
      <c r="F43" s="31" t="s">
        <v>8</v>
      </c>
      <c r="G43" s="54">
        <v>2020</v>
      </c>
      <c r="H43" s="32">
        <v>3930</v>
      </c>
      <c r="I43" s="33" t="s">
        <v>156</v>
      </c>
    </row>
    <row r="44" spans="1:9">
      <c r="A44" s="21"/>
      <c r="B44" s="21"/>
      <c r="C44" s="30">
        <v>15</v>
      </c>
      <c r="D44" s="3"/>
      <c r="E44" s="31" t="s">
        <v>6</v>
      </c>
      <c r="F44" s="31" t="s">
        <v>8</v>
      </c>
      <c r="G44" s="54">
        <v>2020</v>
      </c>
      <c r="H44" s="32">
        <v>3300</v>
      </c>
      <c r="I44" s="33" t="s">
        <v>171</v>
      </c>
    </row>
    <row r="45" spans="1:9">
      <c r="A45" s="21"/>
      <c r="B45" s="21"/>
      <c r="C45" s="30">
        <v>16</v>
      </c>
      <c r="D45" s="3"/>
      <c r="E45" s="31" t="s">
        <v>6</v>
      </c>
      <c r="F45" s="31" t="s">
        <v>8</v>
      </c>
      <c r="G45" s="54">
        <v>2020</v>
      </c>
      <c r="H45" s="32">
        <v>4870</v>
      </c>
      <c r="I45" s="33" t="s">
        <v>177</v>
      </c>
    </row>
    <row r="46" spans="1:9">
      <c r="A46" s="21"/>
      <c r="B46" s="21"/>
      <c r="C46" s="30">
        <v>17</v>
      </c>
      <c r="D46" s="3"/>
      <c r="E46" s="31" t="s">
        <v>6</v>
      </c>
      <c r="F46" s="31" t="s">
        <v>8</v>
      </c>
      <c r="G46" s="54">
        <v>2020</v>
      </c>
      <c r="H46" s="32">
        <v>3300</v>
      </c>
      <c r="I46" s="33" t="s">
        <v>182</v>
      </c>
    </row>
    <row r="47" spans="1:9">
      <c r="A47" s="21"/>
      <c r="B47" s="21"/>
      <c r="C47" s="30">
        <v>18</v>
      </c>
      <c r="D47" s="3"/>
      <c r="E47" s="31" t="s">
        <v>6</v>
      </c>
      <c r="F47" s="31" t="s">
        <v>8</v>
      </c>
      <c r="G47" s="54">
        <v>2020</v>
      </c>
      <c r="H47" s="32">
        <v>5300</v>
      </c>
      <c r="I47" s="33" t="s">
        <v>185</v>
      </c>
    </row>
    <row r="48" spans="1:9">
      <c r="A48" s="21"/>
      <c r="B48" s="21"/>
      <c r="C48" s="30">
        <v>19</v>
      </c>
      <c r="D48" s="3"/>
      <c r="E48" s="31" t="s">
        <v>6</v>
      </c>
      <c r="F48" s="31" t="s">
        <v>8</v>
      </c>
      <c r="G48" s="54">
        <v>2020</v>
      </c>
      <c r="H48" s="32">
        <v>2210</v>
      </c>
      <c r="I48" s="33" t="s">
        <v>187</v>
      </c>
    </row>
    <row r="49" spans="1:9">
      <c r="A49" s="21"/>
      <c r="B49" s="21"/>
      <c r="C49" s="30">
        <v>20</v>
      </c>
      <c r="D49" s="3"/>
      <c r="E49" s="31" t="s">
        <v>6</v>
      </c>
      <c r="F49" s="31" t="s">
        <v>8</v>
      </c>
      <c r="G49" s="54">
        <v>2020</v>
      </c>
      <c r="H49" s="32">
        <v>2960</v>
      </c>
      <c r="I49" s="33" t="s">
        <v>198</v>
      </c>
    </row>
    <row r="50" spans="1:9">
      <c r="A50" s="21"/>
      <c r="B50" s="21"/>
      <c r="C50" s="30">
        <v>21</v>
      </c>
      <c r="D50" s="3"/>
      <c r="E50" s="31" t="s">
        <v>6</v>
      </c>
      <c r="F50" s="31" t="s">
        <v>8</v>
      </c>
      <c r="G50" s="54">
        <v>2020</v>
      </c>
      <c r="H50" s="32">
        <v>3150</v>
      </c>
      <c r="I50" s="33" t="s">
        <v>201</v>
      </c>
    </row>
    <row r="51" spans="1:9">
      <c r="A51" s="21"/>
      <c r="B51" s="21"/>
      <c r="C51" s="30">
        <v>22</v>
      </c>
      <c r="D51" s="3"/>
      <c r="E51" s="31" t="s">
        <v>6</v>
      </c>
      <c r="F51" s="31" t="s">
        <v>8</v>
      </c>
      <c r="G51" s="54">
        <v>2020</v>
      </c>
      <c r="H51" s="32">
        <v>1700</v>
      </c>
      <c r="I51" s="33" t="s">
        <v>204</v>
      </c>
    </row>
    <row r="52" spans="1:9">
      <c r="A52" s="21"/>
      <c r="B52" s="21"/>
      <c r="C52" s="30">
        <v>23</v>
      </c>
      <c r="D52" s="3"/>
      <c r="E52" s="31" t="s">
        <v>6</v>
      </c>
      <c r="F52" s="31" t="s">
        <v>8</v>
      </c>
      <c r="G52" s="54">
        <v>2020</v>
      </c>
      <c r="H52" s="32">
        <v>3510</v>
      </c>
      <c r="I52" s="33" t="s">
        <v>205</v>
      </c>
    </row>
    <row r="53" spans="1:9">
      <c r="A53" s="21"/>
      <c r="B53" s="21"/>
      <c r="C53" s="30">
        <v>24</v>
      </c>
      <c r="D53" s="3"/>
      <c r="E53" s="31" t="s">
        <v>10</v>
      </c>
      <c r="F53" s="31" t="s">
        <v>8</v>
      </c>
      <c r="G53" s="54">
        <v>2020</v>
      </c>
      <c r="H53" s="32">
        <v>3240</v>
      </c>
      <c r="I53" s="33" t="s">
        <v>214</v>
      </c>
    </row>
    <row r="54" spans="1:9">
      <c r="A54" s="21"/>
      <c r="B54" s="21"/>
      <c r="C54" s="17" t="s">
        <v>218</v>
      </c>
      <c r="D54" s="17"/>
      <c r="E54" s="17"/>
      <c r="F54" s="17"/>
      <c r="G54" s="17"/>
      <c r="H54" s="18">
        <f>SUM(H30:H53)</f>
        <v>88960</v>
      </c>
      <c r="I54" s="34" t="s">
        <v>221</v>
      </c>
    </row>
    <row r="55" spans="1:9">
      <c r="A55" s="21"/>
      <c r="B55" s="61" t="s">
        <v>223</v>
      </c>
      <c r="C55" s="62"/>
      <c r="D55" s="62"/>
      <c r="E55" s="62"/>
      <c r="F55" s="62"/>
      <c r="G55" s="63"/>
      <c r="H55" s="36">
        <f>SUM(H54,H29,H25)</f>
        <v>175870</v>
      </c>
      <c r="I55" s="37" t="s">
        <v>222</v>
      </c>
    </row>
    <row r="56" spans="1:9">
      <c r="A56" s="42" t="s">
        <v>260</v>
      </c>
      <c r="B56" s="42" t="s">
        <v>257</v>
      </c>
      <c r="C56" s="30">
        <v>1</v>
      </c>
      <c r="D56" s="3"/>
      <c r="E56" s="31" t="s">
        <v>6</v>
      </c>
      <c r="F56" s="31" t="s">
        <v>9</v>
      </c>
      <c r="G56" s="54">
        <v>2021</v>
      </c>
      <c r="H56" s="32">
        <v>2270</v>
      </c>
      <c r="I56" s="33" t="s">
        <v>39</v>
      </c>
    </row>
    <row r="57" spans="1:9">
      <c r="A57" s="42"/>
      <c r="B57" s="42"/>
      <c r="C57" s="30">
        <v>2</v>
      </c>
      <c r="D57" s="3"/>
      <c r="E57" s="31" t="s">
        <v>6</v>
      </c>
      <c r="F57" s="31" t="s">
        <v>9</v>
      </c>
      <c r="G57" s="54">
        <v>2021</v>
      </c>
      <c r="H57" s="32">
        <v>4830</v>
      </c>
      <c r="I57" s="33" t="s">
        <v>54</v>
      </c>
    </row>
    <row r="58" spans="1:9">
      <c r="A58" s="42"/>
      <c r="B58" s="42"/>
      <c r="C58" s="30">
        <v>3</v>
      </c>
      <c r="D58" s="3"/>
      <c r="E58" s="31" t="s">
        <v>6</v>
      </c>
      <c r="F58" s="31" t="s">
        <v>9</v>
      </c>
      <c r="G58" s="54">
        <v>2021</v>
      </c>
      <c r="H58" s="32">
        <v>6940</v>
      </c>
      <c r="I58" s="33" t="s">
        <v>64</v>
      </c>
    </row>
    <row r="59" spans="1:9">
      <c r="A59" s="42"/>
      <c r="B59" s="42"/>
      <c r="C59" s="30">
        <v>4</v>
      </c>
      <c r="D59" s="3"/>
      <c r="E59" s="31" t="s">
        <v>6</v>
      </c>
      <c r="F59" s="31" t="s">
        <v>9</v>
      </c>
      <c r="G59" s="54">
        <v>2021</v>
      </c>
      <c r="H59" s="32">
        <v>5830</v>
      </c>
      <c r="I59" s="33" t="s">
        <v>73</v>
      </c>
    </row>
    <row r="60" spans="1:9">
      <c r="A60" s="42"/>
      <c r="B60" s="42"/>
      <c r="C60" s="30">
        <v>5</v>
      </c>
      <c r="D60" s="3"/>
      <c r="E60" s="31" t="s">
        <v>6</v>
      </c>
      <c r="F60" s="31" t="s">
        <v>9</v>
      </c>
      <c r="G60" s="54">
        <v>2021</v>
      </c>
      <c r="H60" s="32">
        <v>3530</v>
      </c>
      <c r="I60" s="33" t="s">
        <v>78</v>
      </c>
    </row>
    <row r="61" spans="1:9">
      <c r="A61" s="42"/>
      <c r="B61" s="42"/>
      <c r="C61" s="30">
        <v>6</v>
      </c>
      <c r="D61" s="3"/>
      <c r="E61" s="31" t="s">
        <v>6</v>
      </c>
      <c r="F61" s="31" t="s">
        <v>9</v>
      </c>
      <c r="G61" s="54">
        <v>2021</v>
      </c>
      <c r="H61" s="32">
        <v>2980</v>
      </c>
      <c r="I61" s="33" t="s">
        <v>115</v>
      </c>
    </row>
    <row r="62" spans="1:9">
      <c r="A62" s="42"/>
      <c r="B62" s="42"/>
      <c r="C62" s="30">
        <v>7</v>
      </c>
      <c r="D62" s="3"/>
      <c r="E62" s="31" t="s">
        <v>6</v>
      </c>
      <c r="F62" s="31" t="s">
        <v>9</v>
      </c>
      <c r="G62" s="54">
        <v>2021</v>
      </c>
      <c r="H62" s="32">
        <v>8860</v>
      </c>
      <c r="I62" s="33" t="s">
        <v>141</v>
      </c>
    </row>
    <row r="63" spans="1:9">
      <c r="A63" s="42"/>
      <c r="B63" s="42"/>
      <c r="C63" s="30">
        <v>8</v>
      </c>
      <c r="D63" s="3"/>
      <c r="E63" s="31" t="s">
        <v>6</v>
      </c>
      <c r="F63" s="31" t="s">
        <v>9</v>
      </c>
      <c r="G63" s="54">
        <v>2021</v>
      </c>
      <c r="H63" s="32">
        <v>4750</v>
      </c>
      <c r="I63" s="33" t="s">
        <v>157</v>
      </c>
    </row>
    <row r="64" spans="1:9">
      <c r="A64" s="42"/>
      <c r="B64" s="42"/>
      <c r="C64" s="30">
        <v>9</v>
      </c>
      <c r="D64" s="3"/>
      <c r="E64" s="31" t="s">
        <v>6</v>
      </c>
      <c r="F64" s="31" t="s">
        <v>9</v>
      </c>
      <c r="G64" s="54">
        <v>2021</v>
      </c>
      <c r="H64" s="32">
        <v>4230</v>
      </c>
      <c r="I64" s="33" t="s">
        <v>169</v>
      </c>
    </row>
    <row r="65" spans="1:9">
      <c r="A65" s="42"/>
      <c r="B65" s="42"/>
      <c r="C65" s="30">
        <v>10</v>
      </c>
      <c r="D65" s="3"/>
      <c r="E65" s="31" t="s">
        <v>6</v>
      </c>
      <c r="F65" s="31" t="s">
        <v>9</v>
      </c>
      <c r="G65" s="54">
        <v>2021</v>
      </c>
      <c r="H65" s="32">
        <v>7950</v>
      </c>
      <c r="I65" s="33" t="s">
        <v>172</v>
      </c>
    </row>
    <row r="66" spans="1:9">
      <c r="A66" s="42"/>
      <c r="B66" s="42"/>
      <c r="C66" s="30">
        <v>11</v>
      </c>
      <c r="D66" s="3"/>
      <c r="E66" s="31" t="s">
        <v>6</v>
      </c>
      <c r="F66" s="31" t="s">
        <v>9</v>
      </c>
      <c r="G66" s="54">
        <v>2021</v>
      </c>
      <c r="H66" s="32">
        <v>5420</v>
      </c>
      <c r="I66" s="33" t="s">
        <v>186</v>
      </c>
    </row>
    <row r="67" spans="1:9">
      <c r="A67" s="42"/>
      <c r="B67" s="42"/>
      <c r="C67" s="30">
        <v>12</v>
      </c>
      <c r="D67" s="3"/>
      <c r="E67" s="31" t="s">
        <v>6</v>
      </c>
      <c r="F67" s="31" t="s">
        <v>9</v>
      </c>
      <c r="G67" s="54">
        <v>2021</v>
      </c>
      <c r="H67" s="32">
        <v>6150</v>
      </c>
      <c r="I67" s="33" t="s">
        <v>188</v>
      </c>
    </row>
    <row r="68" spans="1:9">
      <c r="A68" s="42"/>
      <c r="B68" s="42"/>
      <c r="C68" s="30">
        <v>13</v>
      </c>
      <c r="D68" s="3"/>
      <c r="E68" s="31" t="s">
        <v>6</v>
      </c>
      <c r="F68" s="31" t="s">
        <v>9</v>
      </c>
      <c r="G68" s="54">
        <v>2021</v>
      </c>
      <c r="H68" s="32">
        <v>3670</v>
      </c>
      <c r="I68" s="33" t="s">
        <v>199</v>
      </c>
    </row>
    <row r="69" spans="1:9">
      <c r="A69" s="42"/>
      <c r="B69" s="42"/>
      <c r="C69" s="30">
        <v>14</v>
      </c>
      <c r="D69" s="3"/>
      <c r="E69" s="31" t="s">
        <v>6</v>
      </c>
      <c r="F69" s="31" t="s">
        <v>9</v>
      </c>
      <c r="G69" s="54">
        <v>2021</v>
      </c>
      <c r="H69" s="32">
        <v>6280</v>
      </c>
      <c r="I69" s="33" t="s">
        <v>207</v>
      </c>
    </row>
    <row r="70" spans="1:9">
      <c r="A70" s="42"/>
      <c r="B70" s="42"/>
      <c r="C70" s="30">
        <v>15</v>
      </c>
      <c r="D70" s="3"/>
      <c r="E70" s="31" t="s">
        <v>6</v>
      </c>
      <c r="F70" s="31" t="s">
        <v>9</v>
      </c>
      <c r="G70" s="54">
        <v>2021</v>
      </c>
      <c r="H70" s="32">
        <v>4530</v>
      </c>
      <c r="I70" s="33" t="s">
        <v>208</v>
      </c>
    </row>
    <row r="71" spans="1:9">
      <c r="A71" s="42"/>
      <c r="B71" s="42"/>
      <c r="C71" s="30">
        <v>16</v>
      </c>
      <c r="D71" s="3"/>
      <c r="E71" s="31" t="s">
        <v>6</v>
      </c>
      <c r="F71" s="31" t="s">
        <v>9</v>
      </c>
      <c r="G71" s="54">
        <v>2021</v>
      </c>
      <c r="H71" s="32">
        <v>13810</v>
      </c>
      <c r="I71" s="33" t="s">
        <v>211</v>
      </c>
    </row>
    <row r="72" spans="1:9">
      <c r="A72" s="42"/>
      <c r="B72" s="42"/>
      <c r="C72" s="30">
        <v>17</v>
      </c>
      <c r="D72" s="3"/>
      <c r="E72" s="31" t="s">
        <v>6</v>
      </c>
      <c r="F72" s="31" t="s">
        <v>9</v>
      </c>
      <c r="G72" s="54">
        <v>2021</v>
      </c>
      <c r="H72" s="32">
        <v>5220</v>
      </c>
      <c r="I72" s="33" t="s">
        <v>212</v>
      </c>
    </row>
    <row r="73" spans="1:9">
      <c r="A73" s="42"/>
      <c r="B73" s="42"/>
      <c r="C73" s="17" t="s">
        <v>228</v>
      </c>
      <c r="D73" s="17"/>
      <c r="E73" s="17"/>
      <c r="F73" s="17"/>
      <c r="G73" s="17"/>
      <c r="H73" s="18">
        <f>SUM(H56:H72)</f>
        <v>97250</v>
      </c>
      <c r="I73" s="34" t="s">
        <v>224</v>
      </c>
    </row>
    <row r="74" spans="1:9">
      <c r="A74" s="42"/>
      <c r="B74" s="42" t="s">
        <v>258</v>
      </c>
      <c r="C74" s="30">
        <v>1</v>
      </c>
      <c r="D74" s="3"/>
      <c r="E74" s="31" t="s">
        <v>6</v>
      </c>
      <c r="F74" s="31" t="s">
        <v>7</v>
      </c>
      <c r="G74" s="54">
        <v>2021</v>
      </c>
      <c r="H74" s="32">
        <v>1370</v>
      </c>
      <c r="I74" s="33" t="s">
        <v>27</v>
      </c>
    </row>
    <row r="75" spans="1:9">
      <c r="A75" s="42"/>
      <c r="B75" s="42"/>
      <c r="C75" s="30">
        <v>2</v>
      </c>
      <c r="D75" s="3"/>
      <c r="E75" s="31" t="s">
        <v>6</v>
      </c>
      <c r="F75" s="31" t="s">
        <v>7</v>
      </c>
      <c r="G75" s="54">
        <v>2021</v>
      </c>
      <c r="H75" s="32">
        <v>1580</v>
      </c>
      <c r="I75" s="33" t="s">
        <v>40</v>
      </c>
    </row>
    <row r="76" spans="1:9">
      <c r="A76" s="42"/>
      <c r="B76" s="42"/>
      <c r="C76" s="30">
        <v>3</v>
      </c>
      <c r="D76" s="3"/>
      <c r="E76" s="31" t="s">
        <v>6</v>
      </c>
      <c r="F76" s="31" t="s">
        <v>7</v>
      </c>
      <c r="G76" s="54">
        <v>2021</v>
      </c>
      <c r="H76" s="32">
        <v>1080</v>
      </c>
      <c r="I76" s="33" t="s">
        <v>79</v>
      </c>
    </row>
    <row r="77" spans="1:9">
      <c r="A77" s="42"/>
      <c r="B77" s="42"/>
      <c r="C77" s="30">
        <v>4</v>
      </c>
      <c r="D77" s="3"/>
      <c r="E77" s="31" t="s">
        <v>6</v>
      </c>
      <c r="F77" s="31" t="s">
        <v>7</v>
      </c>
      <c r="G77" s="54">
        <v>2021</v>
      </c>
      <c r="H77" s="32">
        <v>2780</v>
      </c>
      <c r="I77" s="33" t="s">
        <v>80</v>
      </c>
    </row>
    <row r="78" spans="1:9">
      <c r="A78" s="42"/>
      <c r="B78" s="42"/>
      <c r="C78" s="30">
        <v>5</v>
      </c>
      <c r="D78" s="3"/>
      <c r="E78" s="31" t="s">
        <v>6</v>
      </c>
      <c r="F78" s="31" t="s">
        <v>7</v>
      </c>
      <c r="G78" s="54">
        <v>2021</v>
      </c>
      <c r="H78" s="32">
        <v>980</v>
      </c>
      <c r="I78" s="33" t="s">
        <v>213</v>
      </c>
    </row>
    <row r="79" spans="1:9">
      <c r="A79" s="42"/>
      <c r="B79" s="42"/>
      <c r="C79" s="17" t="s">
        <v>229</v>
      </c>
      <c r="D79" s="17"/>
      <c r="E79" s="17"/>
      <c r="F79" s="17"/>
      <c r="G79" s="17"/>
      <c r="H79" s="18">
        <f>SUM(H74:H78)</f>
        <v>7790</v>
      </c>
      <c r="I79" s="34" t="s">
        <v>225</v>
      </c>
    </row>
    <row r="80" spans="1:9">
      <c r="A80" s="42"/>
      <c r="B80" s="42" t="s">
        <v>259</v>
      </c>
      <c r="C80" s="30">
        <v>1</v>
      </c>
      <c r="D80" s="3"/>
      <c r="E80" s="31" t="s">
        <v>6</v>
      </c>
      <c r="F80" s="31" t="s">
        <v>8</v>
      </c>
      <c r="G80" s="54">
        <v>2021</v>
      </c>
      <c r="H80" s="32">
        <v>3640</v>
      </c>
      <c r="I80" s="33" t="s">
        <v>11</v>
      </c>
    </row>
    <row r="81" spans="1:9">
      <c r="A81" s="42"/>
      <c r="B81" s="42"/>
      <c r="C81" s="30">
        <v>2</v>
      </c>
      <c r="D81" s="3"/>
      <c r="E81" s="31" t="s">
        <v>6</v>
      </c>
      <c r="F81" s="31" t="s">
        <v>8</v>
      </c>
      <c r="G81" s="54">
        <v>2021</v>
      </c>
      <c r="H81" s="32">
        <v>2910</v>
      </c>
      <c r="I81" s="33" t="s">
        <v>20</v>
      </c>
    </row>
    <row r="82" spans="1:9">
      <c r="A82" s="42"/>
      <c r="B82" s="42"/>
      <c r="C82" s="30">
        <v>3</v>
      </c>
      <c r="D82" s="3"/>
      <c r="E82" s="31" t="s">
        <v>6</v>
      </c>
      <c r="F82" s="31" t="s">
        <v>8</v>
      </c>
      <c r="G82" s="54">
        <v>2021</v>
      </c>
      <c r="H82" s="32">
        <v>7090</v>
      </c>
      <c r="I82" s="33" t="s">
        <v>21</v>
      </c>
    </row>
    <row r="83" spans="1:9">
      <c r="A83" s="42"/>
      <c r="B83" s="42"/>
      <c r="C83" s="30">
        <v>4</v>
      </c>
      <c r="D83" s="3"/>
      <c r="E83" s="31" t="s">
        <v>6</v>
      </c>
      <c r="F83" s="31" t="s">
        <v>8</v>
      </c>
      <c r="G83" s="54">
        <v>2021</v>
      </c>
      <c r="H83" s="32">
        <v>3150</v>
      </c>
      <c r="I83" s="33" t="s">
        <v>28</v>
      </c>
    </row>
    <row r="84" spans="1:9">
      <c r="A84" s="42"/>
      <c r="B84" s="42"/>
      <c r="C84" s="30">
        <v>5</v>
      </c>
      <c r="D84" s="3"/>
      <c r="E84" s="31" t="s">
        <v>6</v>
      </c>
      <c r="F84" s="31" t="s">
        <v>8</v>
      </c>
      <c r="G84" s="54">
        <v>2021</v>
      </c>
      <c r="H84" s="32">
        <v>2670</v>
      </c>
      <c r="I84" s="33" t="s">
        <v>31</v>
      </c>
    </row>
    <row r="85" spans="1:9">
      <c r="A85" s="42"/>
      <c r="B85" s="42"/>
      <c r="C85" s="30">
        <v>6</v>
      </c>
      <c r="D85" s="3"/>
      <c r="E85" s="31" t="s">
        <v>6</v>
      </c>
      <c r="F85" s="31" t="s">
        <v>8</v>
      </c>
      <c r="G85" s="54">
        <v>2021</v>
      </c>
      <c r="H85" s="32">
        <v>2830</v>
      </c>
      <c r="I85" s="33" t="s">
        <v>37</v>
      </c>
    </row>
    <row r="86" spans="1:9">
      <c r="A86" s="42"/>
      <c r="B86" s="42"/>
      <c r="C86" s="30">
        <v>7</v>
      </c>
      <c r="D86" s="3"/>
      <c r="E86" s="31" t="s">
        <v>6</v>
      </c>
      <c r="F86" s="31" t="s">
        <v>8</v>
      </c>
      <c r="G86" s="54">
        <v>2021</v>
      </c>
      <c r="H86" s="32">
        <v>1670</v>
      </c>
      <c r="I86" s="33" t="s">
        <v>37</v>
      </c>
    </row>
    <row r="87" spans="1:9">
      <c r="A87" s="42"/>
      <c r="B87" s="42"/>
      <c r="C87" s="30">
        <v>8</v>
      </c>
      <c r="D87" s="3"/>
      <c r="E87" s="31" t="s">
        <v>6</v>
      </c>
      <c r="F87" s="31" t="s">
        <v>8</v>
      </c>
      <c r="G87" s="54">
        <v>2021</v>
      </c>
      <c r="H87" s="32">
        <v>2540</v>
      </c>
      <c r="I87" s="33" t="s">
        <v>41</v>
      </c>
    </row>
    <row r="88" spans="1:9">
      <c r="A88" s="42"/>
      <c r="B88" s="42"/>
      <c r="C88" s="30">
        <v>9</v>
      </c>
      <c r="D88" s="3"/>
      <c r="E88" s="31" t="s">
        <v>6</v>
      </c>
      <c r="F88" s="31" t="s">
        <v>8</v>
      </c>
      <c r="G88" s="54">
        <v>2021</v>
      </c>
      <c r="H88" s="32">
        <v>3320</v>
      </c>
      <c r="I88" s="33" t="s">
        <v>58</v>
      </c>
    </row>
    <row r="89" spans="1:9">
      <c r="A89" s="42"/>
      <c r="B89" s="42"/>
      <c r="C89" s="30">
        <v>10</v>
      </c>
      <c r="D89" s="3"/>
      <c r="E89" s="31" t="s">
        <v>6</v>
      </c>
      <c r="F89" s="31" t="s">
        <v>8</v>
      </c>
      <c r="G89" s="54">
        <v>2021</v>
      </c>
      <c r="H89" s="32">
        <v>3230</v>
      </c>
      <c r="I89" s="33" t="s">
        <v>61</v>
      </c>
    </row>
    <row r="90" spans="1:9">
      <c r="A90" s="42"/>
      <c r="B90" s="42"/>
      <c r="C90" s="30">
        <v>11</v>
      </c>
      <c r="D90" s="3"/>
      <c r="E90" s="31" t="s">
        <v>6</v>
      </c>
      <c r="F90" s="31" t="s">
        <v>8</v>
      </c>
      <c r="G90" s="54">
        <v>2021</v>
      </c>
      <c r="H90" s="32">
        <v>3010</v>
      </c>
      <c r="I90" s="33" t="s">
        <v>63</v>
      </c>
    </row>
    <row r="91" spans="1:9">
      <c r="A91" s="42"/>
      <c r="B91" s="42"/>
      <c r="C91" s="30">
        <v>12</v>
      </c>
      <c r="D91" s="3"/>
      <c r="E91" s="31" t="s">
        <v>6</v>
      </c>
      <c r="F91" s="31" t="s">
        <v>8</v>
      </c>
      <c r="G91" s="54">
        <v>2021</v>
      </c>
      <c r="H91" s="32">
        <v>2580</v>
      </c>
      <c r="I91" s="33" t="s">
        <v>95</v>
      </c>
    </row>
    <row r="92" spans="1:9">
      <c r="A92" s="42"/>
      <c r="B92" s="42"/>
      <c r="C92" s="30">
        <v>13</v>
      </c>
      <c r="D92" s="3"/>
      <c r="E92" s="31" t="s">
        <v>6</v>
      </c>
      <c r="F92" s="31" t="s">
        <v>8</v>
      </c>
      <c r="G92" s="54">
        <v>2021</v>
      </c>
      <c r="H92" s="32">
        <v>1890</v>
      </c>
      <c r="I92" s="33" t="s">
        <v>112</v>
      </c>
    </row>
    <row r="93" spans="1:9">
      <c r="A93" s="42"/>
      <c r="B93" s="42"/>
      <c r="C93" s="30">
        <v>14</v>
      </c>
      <c r="D93" s="3"/>
      <c r="E93" s="31" t="s">
        <v>6</v>
      </c>
      <c r="F93" s="31" t="s">
        <v>8</v>
      </c>
      <c r="G93" s="54">
        <v>2021</v>
      </c>
      <c r="H93" s="32">
        <v>1330</v>
      </c>
      <c r="I93" s="33" t="s">
        <v>113</v>
      </c>
    </row>
    <row r="94" spans="1:9">
      <c r="A94" s="42"/>
      <c r="B94" s="42"/>
      <c r="C94" s="30">
        <v>15</v>
      </c>
      <c r="D94" s="3"/>
      <c r="E94" s="31" t="s">
        <v>6</v>
      </c>
      <c r="F94" s="31" t="s">
        <v>8</v>
      </c>
      <c r="G94" s="54">
        <v>2021</v>
      </c>
      <c r="H94" s="32">
        <v>2410</v>
      </c>
      <c r="I94" s="33" t="s">
        <v>113</v>
      </c>
    </row>
    <row r="95" spans="1:9">
      <c r="A95" s="42"/>
      <c r="B95" s="42"/>
      <c r="C95" s="30">
        <v>16</v>
      </c>
      <c r="D95" s="3"/>
      <c r="E95" s="31" t="s">
        <v>6</v>
      </c>
      <c r="F95" s="31" t="s">
        <v>8</v>
      </c>
      <c r="G95" s="54">
        <v>2021</v>
      </c>
      <c r="H95" s="32">
        <v>3180</v>
      </c>
      <c r="I95" s="33" t="s">
        <v>117</v>
      </c>
    </row>
    <row r="96" spans="1:9">
      <c r="A96" s="42"/>
      <c r="B96" s="42"/>
      <c r="C96" s="30">
        <v>17</v>
      </c>
      <c r="D96" s="3"/>
      <c r="E96" s="31" t="s">
        <v>6</v>
      </c>
      <c r="F96" s="31" t="s">
        <v>8</v>
      </c>
      <c r="G96" s="54">
        <v>2021</v>
      </c>
      <c r="H96" s="32">
        <v>3340</v>
      </c>
      <c r="I96" s="33" t="s">
        <v>120</v>
      </c>
    </row>
    <row r="97" spans="1:9">
      <c r="A97" s="42"/>
      <c r="B97" s="42"/>
      <c r="C97" s="30">
        <v>18</v>
      </c>
      <c r="D97" s="3"/>
      <c r="E97" s="31" t="s">
        <v>6</v>
      </c>
      <c r="F97" s="31" t="s">
        <v>8</v>
      </c>
      <c r="G97" s="54">
        <v>2021</v>
      </c>
      <c r="H97" s="32">
        <v>4870</v>
      </c>
      <c r="I97" s="33" t="s">
        <v>131</v>
      </c>
    </row>
    <row r="98" spans="1:9">
      <c r="A98" s="42"/>
      <c r="B98" s="42"/>
      <c r="C98" s="30">
        <v>19</v>
      </c>
      <c r="D98" s="3"/>
      <c r="E98" s="31" t="s">
        <v>6</v>
      </c>
      <c r="F98" s="31" t="s">
        <v>8</v>
      </c>
      <c r="G98" s="54">
        <v>2021</v>
      </c>
      <c r="H98" s="32">
        <v>5050</v>
      </c>
      <c r="I98" s="33" t="s">
        <v>133</v>
      </c>
    </row>
    <row r="99" spans="1:9">
      <c r="A99" s="42"/>
      <c r="B99" s="42"/>
      <c r="C99" s="30">
        <v>20</v>
      </c>
      <c r="D99" s="3"/>
      <c r="E99" s="31" t="s">
        <v>6</v>
      </c>
      <c r="F99" s="31" t="s">
        <v>8</v>
      </c>
      <c r="G99" s="54">
        <v>2021</v>
      </c>
      <c r="H99" s="32">
        <v>2420</v>
      </c>
      <c r="I99" s="33" t="s">
        <v>135</v>
      </c>
    </row>
    <row r="100" spans="1:9">
      <c r="A100" s="42"/>
      <c r="B100" s="42"/>
      <c r="C100" s="30">
        <v>21</v>
      </c>
      <c r="D100" s="3"/>
      <c r="E100" s="31" t="s">
        <v>6</v>
      </c>
      <c r="F100" s="31" t="s">
        <v>8</v>
      </c>
      <c r="G100" s="54">
        <v>2021</v>
      </c>
      <c r="H100" s="32">
        <v>2460</v>
      </c>
      <c r="I100" s="33" t="s">
        <v>140</v>
      </c>
    </row>
    <row r="101" spans="1:9">
      <c r="A101" s="42"/>
      <c r="B101" s="42"/>
      <c r="C101" s="30">
        <v>22</v>
      </c>
      <c r="D101" s="3"/>
      <c r="E101" s="31" t="s">
        <v>6</v>
      </c>
      <c r="F101" s="31" t="s">
        <v>8</v>
      </c>
      <c r="G101" s="54">
        <v>2021</v>
      </c>
      <c r="H101" s="32">
        <v>6250</v>
      </c>
      <c r="I101" s="33" t="s">
        <v>147</v>
      </c>
    </row>
    <row r="102" spans="1:9">
      <c r="A102" s="42"/>
      <c r="B102" s="42"/>
      <c r="C102" s="30">
        <v>23</v>
      </c>
      <c r="D102" s="3"/>
      <c r="E102" s="31" t="s">
        <v>6</v>
      </c>
      <c r="F102" s="31" t="s">
        <v>8</v>
      </c>
      <c r="G102" s="54">
        <v>2021</v>
      </c>
      <c r="H102" s="32">
        <v>4300</v>
      </c>
      <c r="I102" s="33" t="s">
        <v>150</v>
      </c>
    </row>
    <row r="103" spans="1:9">
      <c r="A103" s="42"/>
      <c r="B103" s="42"/>
      <c r="C103" s="30">
        <v>24</v>
      </c>
      <c r="D103" s="3"/>
      <c r="E103" s="31" t="s">
        <v>6</v>
      </c>
      <c r="F103" s="31" t="s">
        <v>8</v>
      </c>
      <c r="G103" s="54">
        <v>2021</v>
      </c>
      <c r="H103" s="32">
        <v>330</v>
      </c>
      <c r="I103" s="33" t="s">
        <v>150</v>
      </c>
    </row>
    <row r="104" spans="1:9">
      <c r="A104" s="42"/>
      <c r="B104" s="42"/>
      <c r="C104" s="30">
        <v>25</v>
      </c>
      <c r="D104" s="3"/>
      <c r="E104" s="31" t="s">
        <v>6</v>
      </c>
      <c r="F104" s="31" t="s">
        <v>8</v>
      </c>
      <c r="G104" s="54">
        <v>2021</v>
      </c>
      <c r="H104" s="32">
        <v>2120</v>
      </c>
      <c r="I104" s="33" t="s">
        <v>160</v>
      </c>
    </row>
    <row r="105" spans="1:9">
      <c r="A105" s="42"/>
      <c r="B105" s="42"/>
      <c r="C105" s="30">
        <v>26</v>
      </c>
      <c r="D105" s="3"/>
      <c r="E105" s="31" t="s">
        <v>6</v>
      </c>
      <c r="F105" s="31" t="s">
        <v>8</v>
      </c>
      <c r="G105" s="54">
        <v>2021</v>
      </c>
      <c r="H105" s="32">
        <v>2120</v>
      </c>
      <c r="I105" s="33" t="s">
        <v>164</v>
      </c>
    </row>
    <row r="106" spans="1:9">
      <c r="A106" s="42"/>
      <c r="B106" s="42"/>
      <c r="C106" s="30">
        <v>27</v>
      </c>
      <c r="D106" s="3"/>
      <c r="E106" s="31" t="s">
        <v>6</v>
      </c>
      <c r="F106" s="31" t="s">
        <v>8</v>
      </c>
      <c r="G106" s="54">
        <v>2021</v>
      </c>
      <c r="H106" s="32">
        <v>4640</v>
      </c>
      <c r="I106" s="33" t="s">
        <v>166</v>
      </c>
    </row>
    <row r="107" spans="1:9">
      <c r="A107" s="42"/>
      <c r="B107" s="42"/>
      <c r="C107" s="30">
        <v>28</v>
      </c>
      <c r="D107" s="3"/>
      <c r="E107" s="31" t="s">
        <v>6</v>
      </c>
      <c r="F107" s="31" t="s">
        <v>8</v>
      </c>
      <c r="G107" s="54">
        <v>2021</v>
      </c>
      <c r="H107" s="32">
        <v>2140</v>
      </c>
      <c r="I107" s="33" t="s">
        <v>179</v>
      </c>
    </row>
    <row r="108" spans="1:9">
      <c r="A108" s="42"/>
      <c r="B108" s="42"/>
      <c r="C108" s="30">
        <v>29</v>
      </c>
      <c r="D108" s="3"/>
      <c r="E108" s="31" t="s">
        <v>6</v>
      </c>
      <c r="F108" s="31" t="s">
        <v>8</v>
      </c>
      <c r="G108" s="54">
        <v>2021</v>
      </c>
      <c r="H108" s="32">
        <v>5750</v>
      </c>
      <c r="I108" s="33" t="s">
        <v>183</v>
      </c>
    </row>
    <row r="109" spans="1:9">
      <c r="A109" s="42"/>
      <c r="B109" s="42"/>
      <c r="C109" s="30">
        <v>30</v>
      </c>
      <c r="D109" s="3"/>
      <c r="E109" s="31" t="s">
        <v>6</v>
      </c>
      <c r="F109" s="31" t="s">
        <v>8</v>
      </c>
      <c r="G109" s="54">
        <v>2021</v>
      </c>
      <c r="H109" s="32">
        <v>3200</v>
      </c>
      <c r="I109" s="33" t="s">
        <v>192</v>
      </c>
    </row>
    <row r="110" spans="1:9">
      <c r="A110" s="42"/>
      <c r="B110" s="42"/>
      <c r="C110" s="30">
        <v>31</v>
      </c>
      <c r="D110" s="3"/>
      <c r="E110" s="31" t="s">
        <v>6</v>
      </c>
      <c r="F110" s="31" t="s">
        <v>8</v>
      </c>
      <c r="G110" s="54">
        <v>2021</v>
      </c>
      <c r="H110" s="32">
        <v>6690</v>
      </c>
      <c r="I110" s="33" t="s">
        <v>200</v>
      </c>
    </row>
    <row r="111" spans="1:9">
      <c r="A111" s="42"/>
      <c r="B111" s="42"/>
      <c r="C111" s="17" t="s">
        <v>227</v>
      </c>
      <c r="D111" s="17"/>
      <c r="E111" s="17"/>
      <c r="F111" s="17"/>
      <c r="G111" s="17"/>
      <c r="H111" s="18">
        <f>SUM(H80:H110)</f>
        <v>103130</v>
      </c>
      <c r="I111" s="34" t="s">
        <v>226</v>
      </c>
    </row>
    <row r="112" spans="1:9">
      <c r="A112" s="42"/>
      <c r="B112" s="61" t="s">
        <v>230</v>
      </c>
      <c r="C112" s="62"/>
      <c r="D112" s="62"/>
      <c r="E112" s="62"/>
      <c r="F112" s="62"/>
      <c r="G112" s="63"/>
      <c r="H112" s="36">
        <f>SUM(H111,H79,H73)</f>
        <v>208170</v>
      </c>
      <c r="I112" s="37" t="s">
        <v>231</v>
      </c>
    </row>
    <row r="113" spans="1:9">
      <c r="A113" s="42" t="s">
        <v>262</v>
      </c>
      <c r="B113" s="42" t="s">
        <v>257</v>
      </c>
      <c r="C113" s="30">
        <v>1</v>
      </c>
      <c r="D113" s="3"/>
      <c r="E113" s="31" t="s">
        <v>6</v>
      </c>
      <c r="F113" s="31" t="s">
        <v>9</v>
      </c>
      <c r="G113" s="54">
        <v>2022</v>
      </c>
      <c r="H113" s="32">
        <v>1730</v>
      </c>
      <c r="I113" s="33" t="s">
        <v>13</v>
      </c>
    </row>
    <row r="114" spans="1:9">
      <c r="A114" s="42"/>
      <c r="B114" s="42"/>
      <c r="C114" s="30">
        <v>2</v>
      </c>
      <c r="D114" s="3"/>
      <c r="E114" s="31" t="s">
        <v>6</v>
      </c>
      <c r="F114" s="31" t="s">
        <v>9</v>
      </c>
      <c r="G114" s="54">
        <v>2022</v>
      </c>
      <c r="H114" s="32">
        <v>1980</v>
      </c>
      <c r="I114" s="33" t="s">
        <v>23</v>
      </c>
    </row>
    <row r="115" spans="1:9">
      <c r="A115" s="42"/>
      <c r="B115" s="42"/>
      <c r="C115" s="30">
        <v>3</v>
      </c>
      <c r="D115" s="3"/>
      <c r="E115" s="31" t="s">
        <v>6</v>
      </c>
      <c r="F115" s="31" t="s">
        <v>9</v>
      </c>
      <c r="G115" s="54">
        <v>2022</v>
      </c>
      <c r="H115" s="32">
        <v>6980</v>
      </c>
      <c r="I115" s="33" t="s">
        <v>29</v>
      </c>
    </row>
    <row r="116" spans="1:9">
      <c r="A116" s="42"/>
      <c r="B116" s="42"/>
      <c r="C116" s="30">
        <v>4</v>
      </c>
      <c r="D116" s="3"/>
      <c r="E116" s="31" t="s">
        <v>6</v>
      </c>
      <c r="F116" s="31" t="s">
        <v>9</v>
      </c>
      <c r="G116" s="54">
        <v>2022</v>
      </c>
      <c r="H116" s="32">
        <v>3790</v>
      </c>
      <c r="I116" s="33" t="s">
        <v>36</v>
      </c>
    </row>
    <row r="117" spans="1:9">
      <c r="A117" s="42"/>
      <c r="B117" s="42"/>
      <c r="C117" s="30">
        <v>5</v>
      </c>
      <c r="D117" s="3"/>
      <c r="E117" s="31" t="s">
        <v>6</v>
      </c>
      <c r="F117" s="31" t="s">
        <v>9</v>
      </c>
      <c r="G117" s="54">
        <v>2022</v>
      </c>
      <c r="H117" s="32">
        <v>3520</v>
      </c>
      <c r="I117" s="33" t="s">
        <v>51</v>
      </c>
    </row>
    <row r="118" spans="1:9">
      <c r="A118" s="42"/>
      <c r="B118" s="42"/>
      <c r="C118" s="30">
        <v>6</v>
      </c>
      <c r="D118" s="3"/>
      <c r="E118" s="31" t="s">
        <v>6</v>
      </c>
      <c r="F118" s="31" t="s">
        <v>9</v>
      </c>
      <c r="G118" s="54">
        <v>2022</v>
      </c>
      <c r="H118" s="32">
        <v>3830</v>
      </c>
      <c r="I118" s="33" t="s">
        <v>55</v>
      </c>
    </row>
    <row r="119" spans="1:9">
      <c r="A119" s="42"/>
      <c r="B119" s="42"/>
      <c r="C119" s="30">
        <v>7</v>
      </c>
      <c r="D119" s="3"/>
      <c r="E119" s="31" t="s">
        <v>6</v>
      </c>
      <c r="F119" s="31" t="s">
        <v>9</v>
      </c>
      <c r="G119" s="54">
        <v>2022</v>
      </c>
      <c r="H119" s="32">
        <v>1540</v>
      </c>
      <c r="I119" s="33" t="s">
        <v>68</v>
      </c>
    </row>
    <row r="120" spans="1:9">
      <c r="A120" s="42"/>
      <c r="B120" s="42"/>
      <c r="C120" s="30">
        <v>8</v>
      </c>
      <c r="D120" s="3"/>
      <c r="E120" s="31" t="s">
        <v>6</v>
      </c>
      <c r="F120" s="31" t="s">
        <v>9</v>
      </c>
      <c r="G120" s="54">
        <v>2022</v>
      </c>
      <c r="H120" s="32">
        <v>1100</v>
      </c>
      <c r="I120" s="33" t="s">
        <v>70</v>
      </c>
    </row>
    <row r="121" spans="1:9">
      <c r="A121" s="42"/>
      <c r="B121" s="42"/>
      <c r="C121" s="30">
        <v>9</v>
      </c>
      <c r="D121" s="3"/>
      <c r="E121" s="31" t="s">
        <v>6</v>
      </c>
      <c r="F121" s="31" t="s">
        <v>9</v>
      </c>
      <c r="G121" s="54">
        <v>2022</v>
      </c>
      <c r="H121" s="32">
        <v>5050</v>
      </c>
      <c r="I121" s="33" t="s">
        <v>83</v>
      </c>
    </row>
    <row r="122" spans="1:9">
      <c r="A122" s="42"/>
      <c r="B122" s="42"/>
      <c r="C122" s="30">
        <v>10</v>
      </c>
      <c r="D122" s="3"/>
      <c r="E122" s="31" t="s">
        <v>6</v>
      </c>
      <c r="F122" s="31" t="s">
        <v>9</v>
      </c>
      <c r="G122" s="54">
        <v>2022</v>
      </c>
      <c r="H122" s="32">
        <v>1650</v>
      </c>
      <c r="I122" s="33" t="s">
        <v>103</v>
      </c>
    </row>
    <row r="123" spans="1:9">
      <c r="A123" s="42"/>
      <c r="B123" s="42"/>
      <c r="C123" s="30">
        <v>11</v>
      </c>
      <c r="D123" s="3"/>
      <c r="E123" s="31" t="s">
        <v>6</v>
      </c>
      <c r="F123" s="31" t="s">
        <v>9</v>
      </c>
      <c r="G123" s="54">
        <v>2022</v>
      </c>
      <c r="H123" s="32">
        <v>1340</v>
      </c>
      <c r="I123" s="33" t="s">
        <v>106</v>
      </c>
    </row>
    <row r="124" spans="1:9">
      <c r="A124" s="42"/>
      <c r="B124" s="42"/>
      <c r="C124" s="30">
        <v>12</v>
      </c>
      <c r="D124" s="3"/>
      <c r="E124" s="31" t="s">
        <v>6</v>
      </c>
      <c r="F124" s="31" t="s">
        <v>9</v>
      </c>
      <c r="G124" s="54">
        <v>2022</v>
      </c>
      <c r="H124" s="32">
        <v>1580</v>
      </c>
      <c r="I124" s="33" t="s">
        <v>118</v>
      </c>
    </row>
    <row r="125" spans="1:9">
      <c r="A125" s="42"/>
      <c r="B125" s="42"/>
      <c r="C125" s="30">
        <v>13</v>
      </c>
      <c r="D125" s="3"/>
      <c r="E125" s="31" t="s">
        <v>6</v>
      </c>
      <c r="F125" s="31" t="s">
        <v>9</v>
      </c>
      <c r="G125" s="54">
        <v>2022</v>
      </c>
      <c r="H125" s="32">
        <v>1760</v>
      </c>
      <c r="I125" s="33" t="s">
        <v>118</v>
      </c>
    </row>
    <row r="126" spans="1:9">
      <c r="A126" s="42"/>
      <c r="B126" s="42"/>
      <c r="C126" s="30">
        <v>14</v>
      </c>
      <c r="D126" s="3"/>
      <c r="E126" s="31" t="s">
        <v>6</v>
      </c>
      <c r="F126" s="31" t="s">
        <v>9</v>
      </c>
      <c r="G126" s="54">
        <v>2022</v>
      </c>
      <c r="H126" s="32">
        <v>3660</v>
      </c>
      <c r="I126" s="33" t="s">
        <v>122</v>
      </c>
    </row>
    <row r="127" spans="1:9">
      <c r="A127" s="42"/>
      <c r="B127" s="42"/>
      <c r="C127" s="30">
        <v>15</v>
      </c>
      <c r="D127" s="3"/>
      <c r="E127" s="31" t="s">
        <v>6</v>
      </c>
      <c r="F127" s="31" t="s">
        <v>9</v>
      </c>
      <c r="G127" s="54">
        <v>2022</v>
      </c>
      <c r="H127" s="32">
        <v>4040</v>
      </c>
      <c r="I127" s="33" t="s">
        <v>123</v>
      </c>
    </row>
    <row r="128" spans="1:9">
      <c r="A128" s="42"/>
      <c r="B128" s="42"/>
      <c r="C128" s="30">
        <v>16</v>
      </c>
      <c r="D128" s="3"/>
      <c r="E128" s="31" t="s">
        <v>6</v>
      </c>
      <c r="F128" s="31" t="s">
        <v>9</v>
      </c>
      <c r="G128" s="54">
        <v>2022</v>
      </c>
      <c r="H128" s="32">
        <v>3900</v>
      </c>
      <c r="I128" s="33" t="s">
        <v>124</v>
      </c>
    </row>
    <row r="129" spans="1:9">
      <c r="A129" s="42"/>
      <c r="B129" s="42"/>
      <c r="C129" s="30">
        <v>17</v>
      </c>
      <c r="D129" s="3"/>
      <c r="E129" s="31" t="s">
        <v>6</v>
      </c>
      <c r="F129" s="31" t="s">
        <v>9</v>
      </c>
      <c r="G129" s="54">
        <v>2022</v>
      </c>
      <c r="H129" s="32">
        <v>9090</v>
      </c>
      <c r="I129" s="33" t="s">
        <v>125</v>
      </c>
    </row>
    <row r="130" spans="1:9">
      <c r="A130" s="42"/>
      <c r="B130" s="42"/>
      <c r="C130" s="30">
        <v>18</v>
      </c>
      <c r="D130" s="3"/>
      <c r="E130" s="31" t="s">
        <v>6</v>
      </c>
      <c r="F130" s="31" t="s">
        <v>9</v>
      </c>
      <c r="G130" s="54">
        <v>2022</v>
      </c>
      <c r="H130" s="32">
        <v>4190</v>
      </c>
      <c r="I130" s="33" t="s">
        <v>126</v>
      </c>
    </row>
    <row r="131" spans="1:9">
      <c r="A131" s="42"/>
      <c r="B131" s="42"/>
      <c r="C131" s="30">
        <v>19</v>
      </c>
      <c r="D131" s="3"/>
      <c r="E131" s="31" t="s">
        <v>6</v>
      </c>
      <c r="F131" s="31" t="s">
        <v>9</v>
      </c>
      <c r="G131" s="54">
        <v>2022</v>
      </c>
      <c r="H131" s="32">
        <v>5270</v>
      </c>
      <c r="I131" s="33" t="s">
        <v>152</v>
      </c>
    </row>
    <row r="132" spans="1:9">
      <c r="A132" s="42"/>
      <c r="B132" s="42"/>
      <c r="C132" s="30">
        <v>20</v>
      </c>
      <c r="D132" s="3"/>
      <c r="E132" s="31" t="s">
        <v>6</v>
      </c>
      <c r="F132" s="31" t="s">
        <v>9</v>
      </c>
      <c r="G132" s="54">
        <v>2022</v>
      </c>
      <c r="H132" s="32">
        <v>3740</v>
      </c>
      <c r="I132" s="33" t="s">
        <v>153</v>
      </c>
    </row>
    <row r="133" spans="1:9">
      <c r="A133" s="42"/>
      <c r="B133" s="42"/>
      <c r="C133" s="30">
        <v>21</v>
      </c>
      <c r="D133" s="3"/>
      <c r="E133" s="31" t="s">
        <v>6</v>
      </c>
      <c r="F133" s="31" t="s">
        <v>9</v>
      </c>
      <c r="G133" s="54">
        <v>2022</v>
      </c>
      <c r="H133" s="32">
        <v>1910</v>
      </c>
      <c r="I133" s="33" t="s">
        <v>154</v>
      </c>
    </row>
    <row r="134" spans="1:9">
      <c r="A134" s="42"/>
      <c r="B134" s="42"/>
      <c r="C134" s="30">
        <v>22</v>
      </c>
      <c r="D134" s="3"/>
      <c r="E134" s="31" t="s">
        <v>6</v>
      </c>
      <c r="F134" s="31" t="s">
        <v>9</v>
      </c>
      <c r="G134" s="54">
        <v>2022</v>
      </c>
      <c r="H134" s="32">
        <v>2420</v>
      </c>
      <c r="I134" s="33" t="s">
        <v>155</v>
      </c>
    </row>
    <row r="135" spans="1:9">
      <c r="A135" s="42"/>
      <c r="B135" s="42"/>
      <c r="C135" s="30">
        <v>23</v>
      </c>
      <c r="D135" s="3"/>
      <c r="E135" s="31" t="s">
        <v>6</v>
      </c>
      <c r="F135" s="31" t="s">
        <v>9</v>
      </c>
      <c r="G135" s="54">
        <v>2022</v>
      </c>
      <c r="H135" s="32">
        <v>13050</v>
      </c>
      <c r="I135" s="33" t="s">
        <v>165</v>
      </c>
    </row>
    <row r="136" spans="1:9">
      <c r="A136" s="42"/>
      <c r="B136" s="42"/>
      <c r="C136" s="30">
        <v>24</v>
      </c>
      <c r="D136" s="3"/>
      <c r="E136" s="31" t="s">
        <v>6</v>
      </c>
      <c r="F136" s="31" t="s">
        <v>9</v>
      </c>
      <c r="G136" s="54">
        <v>2022</v>
      </c>
      <c r="H136" s="32">
        <v>2050</v>
      </c>
      <c r="I136" s="33" t="s">
        <v>165</v>
      </c>
    </row>
    <row r="137" spans="1:9">
      <c r="A137" s="42"/>
      <c r="B137" s="42"/>
      <c r="C137" s="30">
        <v>25</v>
      </c>
      <c r="D137" s="3"/>
      <c r="E137" s="31" t="s">
        <v>6</v>
      </c>
      <c r="F137" s="31" t="s">
        <v>9</v>
      </c>
      <c r="G137" s="54">
        <v>2022</v>
      </c>
      <c r="H137" s="32">
        <v>3220</v>
      </c>
      <c r="I137" s="33" t="s">
        <v>173</v>
      </c>
    </row>
    <row r="138" spans="1:9">
      <c r="A138" s="42"/>
      <c r="B138" s="42"/>
      <c r="C138" s="30">
        <v>26</v>
      </c>
      <c r="D138" s="3"/>
      <c r="E138" s="31" t="s">
        <v>6</v>
      </c>
      <c r="F138" s="31" t="s">
        <v>9</v>
      </c>
      <c r="G138" s="54">
        <v>2022</v>
      </c>
      <c r="H138" s="32">
        <v>4440</v>
      </c>
      <c r="I138" s="33" t="s">
        <v>190</v>
      </c>
    </row>
    <row r="139" spans="1:9">
      <c r="A139" s="42"/>
      <c r="B139" s="42"/>
      <c r="C139" s="30">
        <v>27</v>
      </c>
      <c r="D139" s="3"/>
      <c r="E139" s="31" t="s">
        <v>6</v>
      </c>
      <c r="F139" s="31" t="s">
        <v>9</v>
      </c>
      <c r="G139" s="54">
        <v>2022</v>
      </c>
      <c r="H139" s="32">
        <v>1590</v>
      </c>
      <c r="I139" s="33" t="s">
        <v>191</v>
      </c>
    </row>
    <row r="140" spans="1:9">
      <c r="A140" s="42"/>
      <c r="B140" s="42"/>
      <c r="C140" s="30">
        <v>28</v>
      </c>
      <c r="D140" s="3"/>
      <c r="E140" s="31" t="s">
        <v>6</v>
      </c>
      <c r="F140" s="31" t="s">
        <v>9</v>
      </c>
      <c r="G140" s="54">
        <v>2022</v>
      </c>
      <c r="H140" s="32">
        <v>1410</v>
      </c>
      <c r="I140" s="33" t="s">
        <v>199</v>
      </c>
    </row>
    <row r="141" spans="1:9">
      <c r="A141" s="42"/>
      <c r="B141" s="42"/>
      <c r="C141" s="17" t="s">
        <v>232</v>
      </c>
      <c r="D141" s="17"/>
      <c r="E141" s="17"/>
      <c r="F141" s="17"/>
      <c r="G141" s="17"/>
      <c r="H141" s="18">
        <f>SUM(H113:H140)</f>
        <v>99830</v>
      </c>
      <c r="I141" s="34" t="s">
        <v>237</v>
      </c>
    </row>
    <row r="142" spans="1:9">
      <c r="A142" s="42"/>
      <c r="B142" s="42" t="s">
        <v>258</v>
      </c>
      <c r="C142" s="30">
        <v>1</v>
      </c>
      <c r="D142" s="3"/>
      <c r="E142" s="31" t="s">
        <v>6</v>
      </c>
      <c r="F142" s="31" t="s">
        <v>7</v>
      </c>
      <c r="G142" s="54">
        <v>2022</v>
      </c>
      <c r="H142" s="32">
        <v>2410</v>
      </c>
      <c r="I142" s="33" t="s">
        <v>74</v>
      </c>
    </row>
    <row r="143" spans="1:9">
      <c r="A143" s="42"/>
      <c r="B143" s="42"/>
      <c r="C143" s="17" t="s">
        <v>233</v>
      </c>
      <c r="D143" s="17"/>
      <c r="E143" s="17"/>
      <c r="F143" s="17"/>
      <c r="G143" s="17"/>
      <c r="H143" s="18">
        <f>SUM(H142)</f>
        <v>2410</v>
      </c>
      <c r="I143" s="34" t="s">
        <v>238</v>
      </c>
    </row>
    <row r="144" spans="1:9">
      <c r="A144" s="42"/>
      <c r="B144" s="42" t="s">
        <v>259</v>
      </c>
      <c r="C144" s="30">
        <v>1</v>
      </c>
      <c r="D144" s="3"/>
      <c r="E144" s="31" t="s">
        <v>6</v>
      </c>
      <c r="F144" s="31" t="s">
        <v>8</v>
      </c>
      <c r="G144" s="54">
        <v>2022</v>
      </c>
      <c r="H144" s="32">
        <v>4850</v>
      </c>
      <c r="I144" s="33" t="s">
        <v>12</v>
      </c>
    </row>
    <row r="145" spans="1:9">
      <c r="A145" s="42"/>
      <c r="B145" s="42"/>
      <c r="C145" s="30">
        <v>2</v>
      </c>
      <c r="D145" s="3"/>
      <c r="E145" s="31" t="s">
        <v>6</v>
      </c>
      <c r="F145" s="31" t="s">
        <v>8</v>
      </c>
      <c r="G145" s="54">
        <v>2022</v>
      </c>
      <c r="H145" s="32">
        <v>3120</v>
      </c>
      <c r="I145" s="33" t="s">
        <v>25</v>
      </c>
    </row>
    <row r="146" spans="1:9">
      <c r="A146" s="42"/>
      <c r="B146" s="42"/>
      <c r="C146" s="30">
        <v>3</v>
      </c>
      <c r="D146" s="3"/>
      <c r="E146" s="31" t="s">
        <v>6</v>
      </c>
      <c r="F146" s="31" t="s">
        <v>8</v>
      </c>
      <c r="G146" s="54">
        <v>2022</v>
      </c>
      <c r="H146" s="32">
        <v>2870</v>
      </c>
      <c r="I146" s="33" t="s">
        <v>42</v>
      </c>
    </row>
    <row r="147" spans="1:9">
      <c r="A147" s="42"/>
      <c r="B147" s="42"/>
      <c r="C147" s="30">
        <v>4</v>
      </c>
      <c r="D147" s="3"/>
      <c r="E147" s="31" t="s">
        <v>6</v>
      </c>
      <c r="F147" s="31" t="s">
        <v>8</v>
      </c>
      <c r="G147" s="54">
        <v>2022</v>
      </c>
      <c r="H147" s="32">
        <v>2670</v>
      </c>
      <c r="I147" s="33" t="s">
        <v>56</v>
      </c>
    </row>
    <row r="148" spans="1:9">
      <c r="A148" s="42"/>
      <c r="B148" s="42"/>
      <c r="C148" s="30">
        <v>5</v>
      </c>
      <c r="D148" s="3"/>
      <c r="E148" s="31" t="s">
        <v>6</v>
      </c>
      <c r="F148" s="31" t="s">
        <v>8</v>
      </c>
      <c r="G148" s="54">
        <v>2022</v>
      </c>
      <c r="H148" s="32">
        <v>1720</v>
      </c>
      <c r="I148" s="33" t="s">
        <v>59</v>
      </c>
    </row>
    <row r="149" spans="1:9">
      <c r="A149" s="42"/>
      <c r="B149" s="42"/>
      <c r="C149" s="30">
        <v>6</v>
      </c>
      <c r="D149" s="3"/>
      <c r="E149" s="31" t="s">
        <v>6</v>
      </c>
      <c r="F149" s="31" t="s">
        <v>8</v>
      </c>
      <c r="G149" s="54">
        <v>2022</v>
      </c>
      <c r="H149" s="32">
        <v>3620</v>
      </c>
      <c r="I149" s="33" t="s">
        <v>60</v>
      </c>
    </row>
    <row r="150" spans="1:9">
      <c r="A150" s="42"/>
      <c r="B150" s="42"/>
      <c r="C150" s="30">
        <v>7</v>
      </c>
      <c r="D150" s="3"/>
      <c r="E150" s="31" t="s">
        <v>6</v>
      </c>
      <c r="F150" s="31" t="s">
        <v>8</v>
      </c>
      <c r="G150" s="54">
        <v>2022</v>
      </c>
      <c r="H150" s="32">
        <v>4400</v>
      </c>
      <c r="I150" s="33" t="s">
        <v>62</v>
      </c>
    </row>
    <row r="151" spans="1:9">
      <c r="A151" s="42"/>
      <c r="B151" s="42"/>
      <c r="C151" s="30">
        <v>8</v>
      </c>
      <c r="D151" s="3"/>
      <c r="E151" s="31" t="s">
        <v>6</v>
      </c>
      <c r="F151" s="31" t="s">
        <v>8</v>
      </c>
      <c r="G151" s="54">
        <v>2022</v>
      </c>
      <c r="H151" s="32">
        <v>4280</v>
      </c>
      <c r="I151" s="33" t="s">
        <v>82</v>
      </c>
    </row>
    <row r="152" spans="1:9">
      <c r="A152" s="42"/>
      <c r="B152" s="42"/>
      <c r="C152" s="30">
        <v>9</v>
      </c>
      <c r="D152" s="3"/>
      <c r="E152" s="31" t="s">
        <v>6</v>
      </c>
      <c r="F152" s="31" t="s">
        <v>8</v>
      </c>
      <c r="G152" s="54">
        <v>2022</v>
      </c>
      <c r="H152" s="32">
        <v>3430</v>
      </c>
      <c r="I152" s="33" t="s">
        <v>101</v>
      </c>
    </row>
    <row r="153" spans="1:9">
      <c r="A153" s="42"/>
      <c r="B153" s="42"/>
      <c r="C153" s="30">
        <v>10</v>
      </c>
      <c r="D153" s="3"/>
      <c r="E153" s="31" t="s">
        <v>6</v>
      </c>
      <c r="F153" s="31" t="s">
        <v>8</v>
      </c>
      <c r="G153" s="54">
        <v>2022</v>
      </c>
      <c r="H153" s="32">
        <v>4300</v>
      </c>
      <c r="I153" s="33" t="s">
        <v>102</v>
      </c>
    </row>
    <row r="154" spans="1:9">
      <c r="A154" s="42"/>
      <c r="B154" s="42"/>
      <c r="C154" s="30">
        <v>11</v>
      </c>
      <c r="D154" s="3"/>
      <c r="E154" s="31" t="s">
        <v>6</v>
      </c>
      <c r="F154" s="31" t="s">
        <v>8</v>
      </c>
      <c r="G154" s="54">
        <v>2022</v>
      </c>
      <c r="H154" s="32">
        <v>1520</v>
      </c>
      <c r="I154" s="33" t="s">
        <v>104</v>
      </c>
    </row>
    <row r="155" spans="1:9">
      <c r="A155" s="42"/>
      <c r="B155" s="42"/>
      <c r="C155" s="30">
        <v>12</v>
      </c>
      <c r="D155" s="3"/>
      <c r="E155" s="31" t="s">
        <v>6</v>
      </c>
      <c r="F155" s="31" t="s">
        <v>8</v>
      </c>
      <c r="G155" s="54">
        <v>2022</v>
      </c>
      <c r="H155" s="32">
        <v>1780</v>
      </c>
      <c r="I155" s="33" t="s">
        <v>105</v>
      </c>
    </row>
    <row r="156" spans="1:9">
      <c r="A156" s="42"/>
      <c r="B156" s="42"/>
      <c r="C156" s="30">
        <v>13</v>
      </c>
      <c r="D156" s="3"/>
      <c r="E156" s="31" t="s">
        <v>6</v>
      </c>
      <c r="F156" s="31" t="s">
        <v>8</v>
      </c>
      <c r="G156" s="54">
        <v>2022</v>
      </c>
      <c r="H156" s="32">
        <v>3680</v>
      </c>
      <c r="I156" s="33" t="s">
        <v>139</v>
      </c>
    </row>
    <row r="157" spans="1:9">
      <c r="A157" s="42"/>
      <c r="B157" s="42"/>
      <c r="C157" s="30">
        <v>14</v>
      </c>
      <c r="D157" s="3"/>
      <c r="E157" s="31" t="s">
        <v>6</v>
      </c>
      <c r="F157" s="31" t="s">
        <v>8</v>
      </c>
      <c r="G157" s="54">
        <v>2022</v>
      </c>
      <c r="H157" s="32">
        <v>1380</v>
      </c>
      <c r="I157" s="33" t="s">
        <v>142</v>
      </c>
    </row>
    <row r="158" spans="1:9">
      <c r="A158" s="42"/>
      <c r="B158" s="42"/>
      <c r="C158" s="30">
        <v>15</v>
      </c>
      <c r="D158" s="3"/>
      <c r="E158" s="31" t="s">
        <v>6</v>
      </c>
      <c r="F158" s="31" t="s">
        <v>8</v>
      </c>
      <c r="G158" s="54">
        <v>2022</v>
      </c>
      <c r="H158" s="32">
        <v>4450</v>
      </c>
      <c r="I158" s="33" t="s">
        <v>144</v>
      </c>
    </row>
    <row r="159" spans="1:9">
      <c r="A159" s="42"/>
      <c r="B159" s="42"/>
      <c r="C159" s="30">
        <v>16</v>
      </c>
      <c r="D159" s="3"/>
      <c r="E159" s="31" t="s">
        <v>6</v>
      </c>
      <c r="F159" s="31" t="s">
        <v>8</v>
      </c>
      <c r="G159" s="54">
        <v>2022</v>
      </c>
      <c r="H159" s="32">
        <v>5880</v>
      </c>
      <c r="I159" s="33" t="s">
        <v>146</v>
      </c>
    </row>
    <row r="160" spans="1:9">
      <c r="A160" s="42"/>
      <c r="B160" s="42"/>
      <c r="C160" s="30">
        <v>17</v>
      </c>
      <c r="D160" s="3"/>
      <c r="E160" s="31" t="s">
        <v>6</v>
      </c>
      <c r="F160" s="31" t="s">
        <v>8</v>
      </c>
      <c r="G160" s="54">
        <v>2022</v>
      </c>
      <c r="H160" s="32">
        <v>1960</v>
      </c>
      <c r="I160" s="33" t="s">
        <v>202</v>
      </c>
    </row>
    <row r="161" spans="1:9">
      <c r="A161" s="42"/>
      <c r="B161" s="42"/>
      <c r="C161" s="17" t="s">
        <v>234</v>
      </c>
      <c r="D161" s="17"/>
      <c r="E161" s="17"/>
      <c r="F161" s="17"/>
      <c r="G161" s="17"/>
      <c r="H161" s="18">
        <f>SUM(H144:H160)</f>
        <v>55910</v>
      </c>
      <c r="I161" s="34" t="s">
        <v>236</v>
      </c>
    </row>
    <row r="162" spans="1:9">
      <c r="A162" s="42"/>
      <c r="B162" s="61" t="s">
        <v>235</v>
      </c>
      <c r="C162" s="62"/>
      <c r="D162" s="62"/>
      <c r="E162" s="62"/>
      <c r="F162" s="62"/>
      <c r="G162" s="63"/>
      <c r="H162" s="36">
        <f>SUM(H161,H143,H141)</f>
        <v>158150</v>
      </c>
      <c r="I162" s="37" t="s">
        <v>239</v>
      </c>
    </row>
    <row r="163" spans="1:9">
      <c r="A163" s="42" t="s">
        <v>261</v>
      </c>
      <c r="B163" s="42" t="s">
        <v>257</v>
      </c>
      <c r="C163" s="30">
        <v>1</v>
      </c>
      <c r="D163" s="3"/>
      <c r="E163" s="31" t="s">
        <v>6</v>
      </c>
      <c r="F163" s="31" t="s">
        <v>9</v>
      </c>
      <c r="G163" s="54">
        <v>2023</v>
      </c>
      <c r="H163" s="32">
        <v>1870</v>
      </c>
      <c r="I163" s="33" t="s">
        <v>24</v>
      </c>
    </row>
    <row r="164" spans="1:9">
      <c r="A164" s="42"/>
      <c r="B164" s="42"/>
      <c r="C164" s="30">
        <v>2</v>
      </c>
      <c r="D164" s="3"/>
      <c r="E164" s="31" t="s">
        <v>6</v>
      </c>
      <c r="F164" s="31" t="s">
        <v>9</v>
      </c>
      <c r="G164" s="54">
        <v>2023</v>
      </c>
      <c r="H164" s="32">
        <v>4210</v>
      </c>
      <c r="I164" s="33" t="s">
        <v>33</v>
      </c>
    </row>
    <row r="165" spans="1:9">
      <c r="A165" s="42"/>
      <c r="B165" s="42"/>
      <c r="C165" s="30">
        <v>3</v>
      </c>
      <c r="D165" s="3"/>
      <c r="E165" s="31" t="s">
        <v>6</v>
      </c>
      <c r="F165" s="31" t="s">
        <v>9</v>
      </c>
      <c r="G165" s="54">
        <v>2023</v>
      </c>
      <c r="H165" s="32">
        <v>2000</v>
      </c>
      <c r="I165" s="33" t="s">
        <v>34</v>
      </c>
    </row>
    <row r="166" spans="1:9">
      <c r="A166" s="42"/>
      <c r="B166" s="42"/>
      <c r="C166" s="30">
        <v>4</v>
      </c>
      <c r="D166" s="3"/>
      <c r="E166" s="31" t="s">
        <v>6</v>
      </c>
      <c r="F166" s="31" t="s">
        <v>9</v>
      </c>
      <c r="G166" s="54">
        <v>2023</v>
      </c>
      <c r="H166" s="32">
        <v>5410</v>
      </c>
      <c r="I166" s="33" t="s">
        <v>38</v>
      </c>
    </row>
    <row r="167" spans="1:9">
      <c r="A167" s="42"/>
      <c r="B167" s="42"/>
      <c r="C167" s="30">
        <v>5</v>
      </c>
      <c r="D167" s="3"/>
      <c r="E167" s="31" t="s">
        <v>6</v>
      </c>
      <c r="F167" s="31" t="s">
        <v>9</v>
      </c>
      <c r="G167" s="54">
        <v>2023</v>
      </c>
      <c r="H167" s="32">
        <v>2920</v>
      </c>
      <c r="I167" s="33" t="s">
        <v>52</v>
      </c>
    </row>
    <row r="168" spans="1:9">
      <c r="A168" s="42"/>
      <c r="B168" s="42"/>
      <c r="C168" s="30">
        <v>6</v>
      </c>
      <c r="D168" s="3"/>
      <c r="E168" s="31" t="s">
        <v>6</v>
      </c>
      <c r="F168" s="31" t="s">
        <v>9</v>
      </c>
      <c r="G168" s="54">
        <v>2023</v>
      </c>
      <c r="H168" s="32">
        <v>3460</v>
      </c>
      <c r="I168" s="33" t="s">
        <v>57</v>
      </c>
    </row>
    <row r="169" spans="1:9">
      <c r="A169" s="42"/>
      <c r="B169" s="42"/>
      <c r="C169" s="30">
        <v>7</v>
      </c>
      <c r="D169" s="3"/>
      <c r="E169" s="31" t="s">
        <v>6</v>
      </c>
      <c r="F169" s="31" t="s">
        <v>9</v>
      </c>
      <c r="G169" s="54">
        <v>2023</v>
      </c>
      <c r="H169" s="32">
        <v>6170</v>
      </c>
      <c r="I169" s="33" t="s">
        <v>66</v>
      </c>
    </row>
    <row r="170" spans="1:9">
      <c r="A170" s="42"/>
      <c r="B170" s="42"/>
      <c r="C170" s="30">
        <v>8</v>
      </c>
      <c r="D170" s="3"/>
      <c r="E170" s="31" t="s">
        <v>6</v>
      </c>
      <c r="F170" s="31" t="s">
        <v>9</v>
      </c>
      <c r="G170" s="54">
        <v>2023</v>
      </c>
      <c r="H170" s="32">
        <v>2880</v>
      </c>
      <c r="I170" s="33" t="s">
        <v>71</v>
      </c>
    </row>
    <row r="171" spans="1:9">
      <c r="A171" s="42"/>
      <c r="B171" s="42"/>
      <c r="C171" s="30">
        <v>9</v>
      </c>
      <c r="D171" s="3"/>
      <c r="E171" s="31" t="s">
        <v>6</v>
      </c>
      <c r="F171" s="31" t="s">
        <v>9</v>
      </c>
      <c r="G171" s="54">
        <v>2023</v>
      </c>
      <c r="H171" s="32">
        <v>7310</v>
      </c>
      <c r="I171" s="33" t="s">
        <v>77</v>
      </c>
    </row>
    <row r="172" spans="1:9">
      <c r="A172" s="42"/>
      <c r="B172" s="42"/>
      <c r="C172" s="30">
        <v>10</v>
      </c>
      <c r="D172" s="3"/>
      <c r="E172" s="31" t="s">
        <v>6</v>
      </c>
      <c r="F172" s="31" t="s">
        <v>9</v>
      </c>
      <c r="G172" s="54">
        <v>2023</v>
      </c>
      <c r="H172" s="32">
        <v>2380</v>
      </c>
      <c r="I172" s="33" t="s">
        <v>85</v>
      </c>
    </row>
    <row r="173" spans="1:9">
      <c r="A173" s="42"/>
      <c r="B173" s="42"/>
      <c r="C173" s="30">
        <v>11</v>
      </c>
      <c r="D173" s="3"/>
      <c r="E173" s="31" t="s">
        <v>6</v>
      </c>
      <c r="F173" s="31" t="s">
        <v>9</v>
      </c>
      <c r="G173" s="54">
        <v>2023</v>
      </c>
      <c r="H173" s="32">
        <v>3500</v>
      </c>
      <c r="I173" s="33" t="s">
        <v>86</v>
      </c>
    </row>
    <row r="174" spans="1:9">
      <c r="A174" s="42"/>
      <c r="B174" s="42"/>
      <c r="C174" s="30">
        <v>12</v>
      </c>
      <c r="D174" s="3"/>
      <c r="E174" s="31" t="s">
        <v>6</v>
      </c>
      <c r="F174" s="31" t="s">
        <v>9</v>
      </c>
      <c r="G174" s="54">
        <v>2023</v>
      </c>
      <c r="H174" s="32">
        <v>1750</v>
      </c>
      <c r="I174" s="33" t="s">
        <v>87</v>
      </c>
    </row>
    <row r="175" spans="1:9">
      <c r="A175" s="42"/>
      <c r="B175" s="42"/>
      <c r="C175" s="30">
        <v>13</v>
      </c>
      <c r="D175" s="3"/>
      <c r="E175" s="31" t="s">
        <v>6</v>
      </c>
      <c r="F175" s="31" t="s">
        <v>9</v>
      </c>
      <c r="G175" s="54">
        <v>2023</v>
      </c>
      <c r="H175" s="32">
        <v>2470</v>
      </c>
      <c r="I175" s="33" t="s">
        <v>108</v>
      </c>
    </row>
    <row r="176" spans="1:9">
      <c r="A176" s="42"/>
      <c r="B176" s="42"/>
      <c r="C176" s="30">
        <v>14</v>
      </c>
      <c r="D176" s="3"/>
      <c r="E176" s="31" t="s">
        <v>6</v>
      </c>
      <c r="F176" s="31" t="s">
        <v>9</v>
      </c>
      <c r="G176" s="54">
        <v>2023</v>
      </c>
      <c r="H176" s="32">
        <v>3650</v>
      </c>
      <c r="I176" s="33" t="s">
        <v>127</v>
      </c>
    </row>
    <row r="177" spans="1:9">
      <c r="A177" s="42"/>
      <c r="B177" s="42"/>
      <c r="C177" s="30">
        <v>15</v>
      </c>
      <c r="D177" s="3"/>
      <c r="E177" s="31" t="s">
        <v>6</v>
      </c>
      <c r="F177" s="31" t="s">
        <v>9</v>
      </c>
      <c r="G177" s="54">
        <v>2023</v>
      </c>
      <c r="H177" s="32">
        <v>4470</v>
      </c>
      <c r="I177" s="33" t="s">
        <v>145</v>
      </c>
    </row>
    <row r="178" spans="1:9">
      <c r="A178" s="42"/>
      <c r="B178" s="42"/>
      <c r="C178" s="30">
        <v>16</v>
      </c>
      <c r="D178" s="3"/>
      <c r="E178" s="31" t="s">
        <v>6</v>
      </c>
      <c r="F178" s="31" t="s">
        <v>9</v>
      </c>
      <c r="G178" s="54">
        <v>2023</v>
      </c>
      <c r="H178" s="32">
        <v>5770</v>
      </c>
      <c r="I178" s="33" t="s">
        <v>174</v>
      </c>
    </row>
    <row r="179" spans="1:9">
      <c r="A179" s="42"/>
      <c r="B179" s="42"/>
      <c r="C179" s="30">
        <v>17</v>
      </c>
      <c r="D179" s="3"/>
      <c r="E179" s="31" t="s">
        <v>176</v>
      </c>
      <c r="F179" s="31" t="s">
        <v>9</v>
      </c>
      <c r="G179" s="54">
        <v>2023</v>
      </c>
      <c r="H179" s="32">
        <v>1170</v>
      </c>
      <c r="I179" s="33" t="s">
        <v>175</v>
      </c>
    </row>
    <row r="180" spans="1:9">
      <c r="A180" s="42"/>
      <c r="B180" s="42"/>
      <c r="C180" s="30">
        <v>18</v>
      </c>
      <c r="D180" s="3"/>
      <c r="E180" s="31" t="s">
        <v>6</v>
      </c>
      <c r="F180" s="31" t="s">
        <v>9</v>
      </c>
      <c r="G180" s="54">
        <v>2023</v>
      </c>
      <c r="H180" s="32">
        <v>3310</v>
      </c>
      <c r="I180" s="33" t="s">
        <v>178</v>
      </c>
    </row>
    <row r="181" spans="1:9">
      <c r="A181" s="42"/>
      <c r="B181" s="42"/>
      <c r="C181" s="30">
        <v>19</v>
      </c>
      <c r="D181" s="3"/>
      <c r="E181" s="31" t="s">
        <v>6</v>
      </c>
      <c r="F181" s="31" t="s">
        <v>9</v>
      </c>
      <c r="G181" s="54">
        <v>2023</v>
      </c>
      <c r="H181" s="32">
        <v>3410</v>
      </c>
      <c r="I181" s="33" t="s">
        <v>195</v>
      </c>
    </row>
    <row r="182" spans="1:9">
      <c r="A182" s="42"/>
      <c r="B182" s="42"/>
      <c r="C182" s="30">
        <v>20</v>
      </c>
      <c r="D182" s="3"/>
      <c r="E182" s="31" t="s">
        <v>6</v>
      </c>
      <c r="F182" s="31" t="s">
        <v>9</v>
      </c>
      <c r="G182" s="54">
        <v>2023</v>
      </c>
      <c r="H182" s="32">
        <v>4580</v>
      </c>
      <c r="I182" s="33" t="s">
        <v>206</v>
      </c>
    </row>
    <row r="183" spans="1:9">
      <c r="A183" s="42"/>
      <c r="B183" s="42"/>
      <c r="C183" s="30">
        <v>21</v>
      </c>
      <c r="D183" s="3"/>
      <c r="E183" s="31" t="s">
        <v>6</v>
      </c>
      <c r="F183" s="31" t="s">
        <v>9</v>
      </c>
      <c r="G183" s="54">
        <v>2023</v>
      </c>
      <c r="H183" s="32">
        <v>3360</v>
      </c>
      <c r="I183" s="33" t="s">
        <v>209</v>
      </c>
    </row>
    <row r="184" spans="1:9">
      <c r="A184" s="42"/>
      <c r="B184" s="42"/>
      <c r="C184" s="17" t="s">
        <v>240</v>
      </c>
      <c r="D184" s="17"/>
      <c r="E184" s="17"/>
      <c r="F184" s="17"/>
      <c r="G184" s="17"/>
      <c r="H184" s="18">
        <f>SUM(H163:H183)</f>
        <v>76050</v>
      </c>
      <c r="I184" s="34" t="s">
        <v>244</v>
      </c>
    </row>
    <row r="185" spans="1:9">
      <c r="A185" s="42"/>
      <c r="B185" s="42" t="s">
        <v>258</v>
      </c>
      <c r="C185" s="30">
        <v>1</v>
      </c>
      <c r="D185" s="3"/>
      <c r="E185" s="31" t="s">
        <v>6</v>
      </c>
      <c r="F185" s="31" t="s">
        <v>7</v>
      </c>
      <c r="G185" s="54">
        <v>2023</v>
      </c>
      <c r="H185" s="32">
        <v>1020</v>
      </c>
      <c r="I185" s="33" t="s">
        <v>16</v>
      </c>
    </row>
    <row r="186" spans="1:9">
      <c r="A186" s="42"/>
      <c r="B186" s="42"/>
      <c r="C186" s="30">
        <v>2</v>
      </c>
      <c r="D186" s="3"/>
      <c r="E186" s="31" t="s">
        <v>6</v>
      </c>
      <c r="F186" s="31" t="s">
        <v>7</v>
      </c>
      <c r="G186" s="54">
        <v>2023</v>
      </c>
      <c r="H186" s="32">
        <v>930</v>
      </c>
      <c r="I186" s="33" t="s">
        <v>90</v>
      </c>
    </row>
    <row r="187" spans="1:9">
      <c r="A187" s="42"/>
      <c r="B187" s="42"/>
      <c r="C187" s="30">
        <v>3</v>
      </c>
      <c r="D187" s="3"/>
      <c r="E187" s="31" t="s">
        <v>6</v>
      </c>
      <c r="F187" s="31" t="s">
        <v>7</v>
      </c>
      <c r="G187" s="54">
        <v>2023</v>
      </c>
      <c r="H187" s="32">
        <v>2340</v>
      </c>
      <c r="I187" s="33" t="s">
        <v>159</v>
      </c>
    </row>
    <row r="188" spans="1:9">
      <c r="A188" s="42"/>
      <c r="B188" s="42"/>
      <c r="C188" s="30">
        <v>4</v>
      </c>
      <c r="D188" s="3"/>
      <c r="E188" s="31" t="s">
        <v>6</v>
      </c>
      <c r="F188" s="31" t="s">
        <v>7</v>
      </c>
      <c r="G188" s="54">
        <v>2023</v>
      </c>
      <c r="H188" s="32">
        <v>1410</v>
      </c>
      <c r="I188" s="33" t="s">
        <v>175</v>
      </c>
    </row>
    <row r="189" spans="1:9">
      <c r="A189" s="42"/>
      <c r="B189" s="42"/>
      <c r="C189" s="17" t="s">
        <v>241</v>
      </c>
      <c r="D189" s="17"/>
      <c r="E189" s="17"/>
      <c r="F189" s="17"/>
      <c r="G189" s="17"/>
      <c r="H189" s="18">
        <f>SUM(H185:H188)</f>
        <v>5700</v>
      </c>
      <c r="I189" s="34" t="s">
        <v>245</v>
      </c>
    </row>
    <row r="190" spans="1:9">
      <c r="A190" s="42"/>
      <c r="B190" s="42" t="s">
        <v>259</v>
      </c>
      <c r="C190" s="30">
        <v>1</v>
      </c>
      <c r="D190" s="3"/>
      <c r="E190" s="31" t="s">
        <v>6</v>
      </c>
      <c r="F190" s="31" t="s">
        <v>8</v>
      </c>
      <c r="G190" s="54">
        <v>2023</v>
      </c>
      <c r="H190" s="32">
        <v>4660</v>
      </c>
      <c r="I190" s="33" t="s">
        <v>35</v>
      </c>
    </row>
    <row r="191" spans="1:9">
      <c r="A191" s="42"/>
      <c r="B191" s="42"/>
      <c r="C191" s="30">
        <v>2</v>
      </c>
      <c r="D191" s="3"/>
      <c r="E191" s="31" t="s">
        <v>6</v>
      </c>
      <c r="F191" s="31" t="s">
        <v>8</v>
      </c>
      <c r="G191" s="54">
        <v>2023</v>
      </c>
      <c r="H191" s="32">
        <v>4570</v>
      </c>
      <c r="I191" s="33" t="s">
        <v>46</v>
      </c>
    </row>
    <row r="192" spans="1:9">
      <c r="A192" s="42"/>
      <c r="B192" s="42"/>
      <c r="C192" s="30">
        <v>3</v>
      </c>
      <c r="D192" s="3"/>
      <c r="E192" s="31" t="s">
        <v>6</v>
      </c>
      <c r="F192" s="31" t="s">
        <v>8</v>
      </c>
      <c r="G192" s="54">
        <v>2023</v>
      </c>
      <c r="H192" s="32">
        <v>2750</v>
      </c>
      <c r="I192" s="33" t="s">
        <v>94</v>
      </c>
    </row>
    <row r="193" spans="1:9">
      <c r="A193" s="42"/>
      <c r="B193" s="42"/>
      <c r="C193" s="30">
        <v>4</v>
      </c>
      <c r="D193" s="3"/>
      <c r="E193" s="31" t="s">
        <v>6</v>
      </c>
      <c r="F193" s="31" t="s">
        <v>8</v>
      </c>
      <c r="G193" s="54">
        <v>2023</v>
      </c>
      <c r="H193" s="32">
        <v>4990</v>
      </c>
      <c r="I193" s="33" t="s">
        <v>129</v>
      </c>
    </row>
    <row r="194" spans="1:9">
      <c r="A194" s="42"/>
      <c r="B194" s="42"/>
      <c r="C194" s="30">
        <v>5</v>
      </c>
      <c r="D194" s="3"/>
      <c r="E194" s="31" t="s">
        <v>6</v>
      </c>
      <c r="F194" s="31" t="s">
        <v>8</v>
      </c>
      <c r="G194" s="54">
        <v>2023</v>
      </c>
      <c r="H194" s="32">
        <v>2700</v>
      </c>
      <c r="I194" s="33" t="s">
        <v>137</v>
      </c>
    </row>
    <row r="195" spans="1:9">
      <c r="A195" s="42"/>
      <c r="B195" s="42"/>
      <c r="C195" s="30">
        <v>6</v>
      </c>
      <c r="D195" s="3"/>
      <c r="E195" s="31" t="s">
        <v>6</v>
      </c>
      <c r="F195" s="31" t="s">
        <v>8</v>
      </c>
      <c r="G195" s="54">
        <v>2023</v>
      </c>
      <c r="H195" s="32">
        <v>2800</v>
      </c>
      <c r="I195" s="33" t="s">
        <v>138</v>
      </c>
    </row>
    <row r="196" spans="1:9">
      <c r="A196" s="42"/>
      <c r="B196" s="42"/>
      <c r="C196" s="30">
        <v>7</v>
      </c>
      <c r="D196" s="3"/>
      <c r="E196" s="31" t="s">
        <v>6</v>
      </c>
      <c r="F196" s="31" t="s">
        <v>8</v>
      </c>
      <c r="G196" s="54">
        <v>2023</v>
      </c>
      <c r="H196" s="32">
        <v>3170</v>
      </c>
      <c r="I196" s="33" t="s">
        <v>161</v>
      </c>
    </row>
    <row r="197" spans="1:9">
      <c r="A197" s="42"/>
      <c r="B197" s="42"/>
      <c r="C197" s="30">
        <v>8</v>
      </c>
      <c r="D197" s="3"/>
      <c r="E197" s="31" t="s">
        <v>6</v>
      </c>
      <c r="F197" s="31" t="s">
        <v>8</v>
      </c>
      <c r="G197" s="54">
        <v>2023</v>
      </c>
      <c r="H197" s="32">
        <v>2700</v>
      </c>
      <c r="I197" s="33" t="s">
        <v>196</v>
      </c>
    </row>
    <row r="198" spans="1:9">
      <c r="A198" s="42"/>
      <c r="B198" s="42"/>
      <c r="C198" s="17" t="s">
        <v>242</v>
      </c>
      <c r="D198" s="17"/>
      <c r="E198" s="17"/>
      <c r="F198" s="17"/>
      <c r="G198" s="17"/>
      <c r="H198" s="18">
        <f>SUM(H190:H197)</f>
        <v>28340</v>
      </c>
      <c r="I198" s="34" t="s">
        <v>246</v>
      </c>
    </row>
    <row r="199" spans="1:9">
      <c r="A199" s="42"/>
      <c r="B199" s="61" t="s">
        <v>243</v>
      </c>
      <c r="C199" s="62"/>
      <c r="D199" s="62"/>
      <c r="E199" s="62"/>
      <c r="F199" s="62"/>
      <c r="G199" s="63"/>
      <c r="H199" s="36">
        <f>SUM(H198,H189,H184)</f>
        <v>110090</v>
      </c>
      <c r="I199" s="37" t="s">
        <v>253</v>
      </c>
    </row>
    <row r="200" spans="1:9">
      <c r="A200" s="42" t="s">
        <v>263</v>
      </c>
      <c r="B200" s="42" t="s">
        <v>257</v>
      </c>
      <c r="C200" s="30">
        <v>1</v>
      </c>
      <c r="D200" s="3"/>
      <c r="E200" s="31" t="s">
        <v>6</v>
      </c>
      <c r="F200" s="31" t="s">
        <v>9</v>
      </c>
      <c r="G200" s="54">
        <v>2024</v>
      </c>
      <c r="H200" s="32">
        <v>4020</v>
      </c>
      <c r="I200" s="33" t="s">
        <v>26</v>
      </c>
    </row>
    <row r="201" spans="1:9">
      <c r="A201" s="42"/>
      <c r="B201" s="42"/>
      <c r="C201" s="30">
        <v>2</v>
      </c>
      <c r="D201" s="3"/>
      <c r="E201" s="31" t="s">
        <v>6</v>
      </c>
      <c r="F201" s="31" t="s">
        <v>9</v>
      </c>
      <c r="G201" s="54">
        <v>2024</v>
      </c>
      <c r="H201" s="32">
        <v>6460</v>
      </c>
      <c r="I201" s="33" t="s">
        <v>44</v>
      </c>
    </row>
    <row r="202" spans="1:9">
      <c r="A202" s="42"/>
      <c r="B202" s="42"/>
      <c r="C202" s="30">
        <v>3</v>
      </c>
      <c r="D202" s="3"/>
      <c r="E202" s="31" t="s">
        <v>6</v>
      </c>
      <c r="F202" s="31" t="s">
        <v>9</v>
      </c>
      <c r="G202" s="54">
        <v>2024</v>
      </c>
      <c r="H202" s="32">
        <v>3210</v>
      </c>
      <c r="I202" s="33" t="s">
        <v>45</v>
      </c>
    </row>
    <row r="203" spans="1:9">
      <c r="A203" s="42"/>
      <c r="B203" s="42"/>
      <c r="C203" s="30">
        <v>4</v>
      </c>
      <c r="D203" s="3"/>
      <c r="E203" s="31" t="s">
        <v>6</v>
      </c>
      <c r="F203" s="31" t="s">
        <v>9</v>
      </c>
      <c r="G203" s="54">
        <v>2024</v>
      </c>
      <c r="H203" s="32">
        <v>1690</v>
      </c>
      <c r="I203" s="33" t="s">
        <v>69</v>
      </c>
    </row>
    <row r="204" spans="1:9">
      <c r="A204" s="42"/>
      <c r="B204" s="42"/>
      <c r="C204" s="30">
        <v>5</v>
      </c>
      <c r="D204" s="3"/>
      <c r="E204" s="31" t="s">
        <v>6</v>
      </c>
      <c r="F204" s="31" t="s">
        <v>9</v>
      </c>
      <c r="G204" s="54">
        <v>2024</v>
      </c>
      <c r="H204" s="32">
        <v>3450</v>
      </c>
      <c r="I204" s="33" t="s">
        <v>72</v>
      </c>
    </row>
    <row r="205" spans="1:9">
      <c r="A205" s="42"/>
      <c r="B205" s="42"/>
      <c r="C205" s="30">
        <v>6</v>
      </c>
      <c r="D205" s="3"/>
      <c r="E205" s="31" t="s">
        <v>6</v>
      </c>
      <c r="F205" s="31" t="s">
        <v>9</v>
      </c>
      <c r="G205" s="54">
        <v>2024</v>
      </c>
      <c r="H205" s="32">
        <v>2400</v>
      </c>
      <c r="I205" s="33" t="s">
        <v>109</v>
      </c>
    </row>
    <row r="206" spans="1:9">
      <c r="A206" s="42"/>
      <c r="B206" s="42"/>
      <c r="C206" s="30">
        <v>7</v>
      </c>
      <c r="D206" s="3"/>
      <c r="E206" s="31" t="s">
        <v>6</v>
      </c>
      <c r="F206" s="31" t="s">
        <v>9</v>
      </c>
      <c r="G206" s="54">
        <v>2024</v>
      </c>
      <c r="H206" s="32">
        <v>3200</v>
      </c>
      <c r="I206" s="33" t="s">
        <v>116</v>
      </c>
    </row>
    <row r="207" spans="1:9">
      <c r="A207" s="42"/>
      <c r="B207" s="42"/>
      <c r="C207" s="30">
        <v>8</v>
      </c>
      <c r="D207" s="3"/>
      <c r="E207" s="31" t="s">
        <v>6</v>
      </c>
      <c r="F207" s="31" t="s">
        <v>9</v>
      </c>
      <c r="G207" s="54">
        <v>2024</v>
      </c>
      <c r="H207" s="32">
        <v>1900</v>
      </c>
      <c r="I207" s="33" t="s">
        <v>121</v>
      </c>
    </row>
    <row r="208" spans="1:9">
      <c r="A208" s="42"/>
      <c r="B208" s="42"/>
      <c r="C208" s="30">
        <v>9</v>
      </c>
      <c r="D208" s="3"/>
      <c r="E208" s="31" t="s">
        <v>6</v>
      </c>
      <c r="F208" s="31" t="s">
        <v>9</v>
      </c>
      <c r="G208" s="54">
        <v>2024</v>
      </c>
      <c r="H208" s="32">
        <v>2490</v>
      </c>
      <c r="I208" s="33" t="s">
        <v>163</v>
      </c>
    </row>
    <row r="209" spans="1:9">
      <c r="A209" s="42"/>
      <c r="B209" s="42"/>
      <c r="C209" s="30">
        <v>10</v>
      </c>
      <c r="D209" s="3"/>
      <c r="E209" s="31" t="s">
        <v>6</v>
      </c>
      <c r="F209" s="31" t="s">
        <v>9</v>
      </c>
      <c r="G209" s="54">
        <v>2024</v>
      </c>
      <c r="H209" s="32">
        <v>1610</v>
      </c>
      <c r="I209" s="33" t="s">
        <v>167</v>
      </c>
    </row>
    <row r="210" spans="1:9">
      <c r="A210" s="42"/>
      <c r="B210" s="42"/>
      <c r="C210" s="30">
        <v>11</v>
      </c>
      <c r="D210" s="3"/>
      <c r="E210" s="31" t="s">
        <v>6</v>
      </c>
      <c r="F210" s="31" t="s">
        <v>9</v>
      </c>
      <c r="G210" s="54">
        <v>2024</v>
      </c>
      <c r="H210" s="32">
        <v>1500</v>
      </c>
      <c r="I210" s="33" t="s">
        <v>180</v>
      </c>
    </row>
    <row r="211" spans="1:9">
      <c r="A211" s="42"/>
      <c r="B211" s="42"/>
      <c r="C211" s="30">
        <v>12</v>
      </c>
      <c r="D211" s="3"/>
      <c r="E211" s="31" t="s">
        <v>6</v>
      </c>
      <c r="F211" s="31" t="s">
        <v>9</v>
      </c>
      <c r="G211" s="54">
        <v>2024</v>
      </c>
      <c r="H211" s="32">
        <v>1300</v>
      </c>
      <c r="I211" s="33" t="s">
        <v>193</v>
      </c>
    </row>
    <row r="212" spans="1:9">
      <c r="A212" s="42"/>
      <c r="B212" s="42"/>
      <c r="C212" s="17" t="s">
        <v>247</v>
      </c>
      <c r="D212" s="17"/>
      <c r="E212" s="17"/>
      <c r="F212" s="17"/>
      <c r="G212" s="17"/>
      <c r="H212" s="18">
        <f>SUM(H200:H211)</f>
        <v>33230</v>
      </c>
      <c r="I212" s="34" t="s">
        <v>251</v>
      </c>
    </row>
    <row r="213" spans="1:9">
      <c r="A213" s="42"/>
      <c r="B213" s="42" t="s">
        <v>258</v>
      </c>
      <c r="C213" s="30">
        <v>1</v>
      </c>
      <c r="D213" s="3"/>
      <c r="E213" s="31" t="s">
        <v>6</v>
      </c>
      <c r="F213" s="31" t="s">
        <v>7</v>
      </c>
      <c r="G213" s="54">
        <v>2024</v>
      </c>
      <c r="H213" s="32">
        <v>1370</v>
      </c>
      <c r="I213" s="33" t="s">
        <v>81</v>
      </c>
    </row>
    <row r="214" spans="1:9">
      <c r="A214" s="42"/>
      <c r="B214" s="42"/>
      <c r="C214" s="30">
        <v>2</v>
      </c>
      <c r="D214" s="3"/>
      <c r="E214" s="31" t="s">
        <v>6</v>
      </c>
      <c r="F214" s="31" t="s">
        <v>7</v>
      </c>
      <c r="G214" s="54">
        <v>2024</v>
      </c>
      <c r="H214" s="32">
        <v>3200</v>
      </c>
      <c r="I214" s="33" t="s">
        <v>158</v>
      </c>
    </row>
    <row r="215" spans="1:9">
      <c r="A215" s="42"/>
      <c r="B215" s="42"/>
      <c r="C215" s="30">
        <v>3</v>
      </c>
      <c r="D215" s="3"/>
      <c r="E215" s="31" t="s">
        <v>6</v>
      </c>
      <c r="F215" s="31" t="s">
        <v>7</v>
      </c>
      <c r="G215" s="54">
        <v>2024</v>
      </c>
      <c r="H215" s="32">
        <v>1040</v>
      </c>
      <c r="I215" s="33" t="s">
        <v>181</v>
      </c>
    </row>
    <row r="216" spans="1:9">
      <c r="A216" s="42"/>
      <c r="B216" s="42"/>
      <c r="C216" s="30">
        <v>4</v>
      </c>
      <c r="D216" s="3"/>
      <c r="E216" s="31" t="s">
        <v>6</v>
      </c>
      <c r="F216" s="31" t="s">
        <v>7</v>
      </c>
      <c r="G216" s="54">
        <v>2024</v>
      </c>
      <c r="H216" s="32">
        <v>530</v>
      </c>
      <c r="I216" s="33" t="s">
        <v>194</v>
      </c>
    </row>
    <row r="217" spans="1:9">
      <c r="A217" s="42"/>
      <c r="B217" s="42"/>
      <c r="C217" s="17" t="s">
        <v>248</v>
      </c>
      <c r="D217" s="17"/>
      <c r="E217" s="17"/>
      <c r="F217" s="17"/>
      <c r="G217" s="17"/>
      <c r="H217" s="18">
        <f>SUM(H213:H216)</f>
        <v>6140</v>
      </c>
      <c r="I217" s="34" t="s">
        <v>245</v>
      </c>
    </row>
    <row r="218" spans="1:9">
      <c r="A218" s="42"/>
      <c r="B218" s="42" t="s">
        <v>259</v>
      </c>
      <c r="C218" s="30">
        <v>1</v>
      </c>
      <c r="D218" s="3"/>
      <c r="E218" s="31" t="s">
        <v>6</v>
      </c>
      <c r="F218" s="31" t="s">
        <v>8</v>
      </c>
      <c r="G218" s="54">
        <v>2024</v>
      </c>
      <c r="H218" s="32">
        <v>3000</v>
      </c>
      <c r="I218" s="33" t="s">
        <v>14</v>
      </c>
    </row>
    <row r="219" spans="1:9">
      <c r="A219" s="42"/>
      <c r="B219" s="42"/>
      <c r="C219" s="30">
        <v>2</v>
      </c>
      <c r="D219" s="3"/>
      <c r="E219" s="31" t="s">
        <v>6</v>
      </c>
      <c r="F219" s="31" t="s">
        <v>8</v>
      </c>
      <c r="G219" s="54">
        <v>2024</v>
      </c>
      <c r="H219" s="32">
        <v>3160</v>
      </c>
      <c r="I219" s="33" t="s">
        <v>15</v>
      </c>
    </row>
    <row r="220" spans="1:9">
      <c r="A220" s="42"/>
      <c r="B220" s="42"/>
      <c r="C220" s="30">
        <v>3</v>
      </c>
      <c r="D220" s="3"/>
      <c r="E220" s="31" t="s">
        <v>6</v>
      </c>
      <c r="F220" s="31" t="s">
        <v>8</v>
      </c>
      <c r="G220" s="54">
        <v>2024</v>
      </c>
      <c r="H220" s="32">
        <v>1660</v>
      </c>
      <c r="I220" s="33" t="s">
        <v>15</v>
      </c>
    </row>
    <row r="221" spans="1:9">
      <c r="A221" s="42"/>
      <c r="B221" s="42"/>
      <c r="C221" s="30">
        <v>4</v>
      </c>
      <c r="D221" s="3"/>
      <c r="E221" s="31" t="s">
        <v>6</v>
      </c>
      <c r="F221" s="31" t="s">
        <v>8</v>
      </c>
      <c r="G221" s="54">
        <v>2024</v>
      </c>
      <c r="H221" s="32">
        <v>4650</v>
      </c>
      <c r="I221" s="33" t="s">
        <v>19</v>
      </c>
    </row>
    <row r="222" spans="1:9">
      <c r="A222" s="42"/>
      <c r="B222" s="42"/>
      <c r="C222" s="30">
        <v>5</v>
      </c>
      <c r="D222" s="3"/>
      <c r="E222" s="31" t="s">
        <v>6</v>
      </c>
      <c r="F222" s="31" t="s">
        <v>8</v>
      </c>
      <c r="G222" s="54">
        <v>2024</v>
      </c>
      <c r="H222" s="32">
        <v>5310</v>
      </c>
      <c r="I222" s="33" t="s">
        <v>47</v>
      </c>
    </row>
    <row r="223" spans="1:9">
      <c r="A223" s="42"/>
      <c r="B223" s="42"/>
      <c r="C223" s="30">
        <v>6</v>
      </c>
      <c r="D223" s="3"/>
      <c r="E223" s="31" t="s">
        <v>6</v>
      </c>
      <c r="F223" s="31" t="s">
        <v>8</v>
      </c>
      <c r="G223" s="54">
        <v>2024</v>
      </c>
      <c r="H223" s="32">
        <v>4990</v>
      </c>
      <c r="I223" s="33" t="s">
        <v>91</v>
      </c>
    </row>
    <row r="224" spans="1:9">
      <c r="A224" s="42"/>
      <c r="B224" s="42"/>
      <c r="C224" s="30">
        <v>7</v>
      </c>
      <c r="D224" s="3"/>
      <c r="E224" s="31" t="s">
        <v>6</v>
      </c>
      <c r="F224" s="31" t="s">
        <v>8</v>
      </c>
      <c r="G224" s="54">
        <v>2024</v>
      </c>
      <c r="H224" s="32">
        <v>2560</v>
      </c>
      <c r="I224" s="33" t="s">
        <v>92</v>
      </c>
    </row>
    <row r="225" spans="1:9">
      <c r="A225" s="42"/>
      <c r="B225" s="42"/>
      <c r="C225" s="30">
        <v>8</v>
      </c>
      <c r="D225" s="3"/>
      <c r="E225" s="31" t="s">
        <v>6</v>
      </c>
      <c r="F225" s="31" t="s">
        <v>8</v>
      </c>
      <c r="G225" s="54">
        <v>2024</v>
      </c>
      <c r="H225" s="32">
        <v>4050</v>
      </c>
      <c r="I225" s="33" t="s">
        <v>93</v>
      </c>
    </row>
    <row r="226" spans="1:9">
      <c r="A226" s="42"/>
      <c r="B226" s="42"/>
      <c r="C226" s="30">
        <v>9</v>
      </c>
      <c r="D226" s="3"/>
      <c r="E226" s="31" t="s">
        <v>6</v>
      </c>
      <c r="F226" s="31" t="s">
        <v>8</v>
      </c>
      <c r="G226" s="54">
        <v>2024</v>
      </c>
      <c r="H226" s="32">
        <v>3830</v>
      </c>
      <c r="I226" s="33" t="s">
        <v>100</v>
      </c>
    </row>
    <row r="227" spans="1:9">
      <c r="A227" s="42"/>
      <c r="B227" s="42"/>
      <c r="C227" s="30">
        <v>10</v>
      </c>
      <c r="D227" s="3"/>
      <c r="E227" s="31" t="s">
        <v>6</v>
      </c>
      <c r="F227" s="31" t="s">
        <v>8</v>
      </c>
      <c r="G227" s="54">
        <v>2024</v>
      </c>
      <c r="H227" s="32">
        <v>3060</v>
      </c>
      <c r="I227" s="33" t="s">
        <v>107</v>
      </c>
    </row>
    <row r="228" spans="1:9">
      <c r="A228" s="42"/>
      <c r="B228" s="42"/>
      <c r="C228" s="30">
        <v>11</v>
      </c>
      <c r="D228" s="3"/>
      <c r="E228" s="31" t="s">
        <v>6</v>
      </c>
      <c r="F228" s="31" t="s">
        <v>8</v>
      </c>
      <c r="G228" s="54">
        <v>2024</v>
      </c>
      <c r="H228" s="32">
        <v>2930</v>
      </c>
      <c r="I228" s="33" t="s">
        <v>128</v>
      </c>
    </row>
    <row r="229" spans="1:9">
      <c r="A229" s="42"/>
      <c r="B229" s="42"/>
      <c r="C229" s="30">
        <v>12</v>
      </c>
      <c r="D229" s="3"/>
      <c r="E229" s="31" t="s">
        <v>6</v>
      </c>
      <c r="F229" s="31" t="s">
        <v>8</v>
      </c>
      <c r="G229" s="54">
        <v>2024</v>
      </c>
      <c r="H229" s="32">
        <v>2520</v>
      </c>
      <c r="I229" s="33" t="s">
        <v>134</v>
      </c>
    </row>
    <row r="230" spans="1:9">
      <c r="A230" s="42"/>
      <c r="B230" s="42"/>
      <c r="C230" s="30">
        <v>13</v>
      </c>
      <c r="D230" s="3"/>
      <c r="E230" s="31" t="s">
        <v>6</v>
      </c>
      <c r="F230" s="31" t="s">
        <v>8</v>
      </c>
      <c r="G230" s="54">
        <v>2024</v>
      </c>
      <c r="H230" s="32">
        <v>400</v>
      </c>
      <c r="I230" s="33" t="s">
        <v>134</v>
      </c>
    </row>
    <row r="231" spans="1:9">
      <c r="A231" s="42"/>
      <c r="B231" s="42"/>
      <c r="C231" s="30">
        <v>14</v>
      </c>
      <c r="D231" s="3"/>
      <c r="E231" s="31" t="s">
        <v>6</v>
      </c>
      <c r="F231" s="31" t="s">
        <v>8</v>
      </c>
      <c r="G231" s="54">
        <v>2024</v>
      </c>
      <c r="H231" s="32">
        <v>3260</v>
      </c>
      <c r="I231" s="33" t="s">
        <v>136</v>
      </c>
    </row>
    <row r="232" spans="1:9">
      <c r="A232" s="42"/>
      <c r="B232" s="42"/>
      <c r="C232" s="30">
        <v>15</v>
      </c>
      <c r="D232" s="3"/>
      <c r="E232" s="31" t="s">
        <v>6</v>
      </c>
      <c r="F232" s="31" t="s">
        <v>8</v>
      </c>
      <c r="G232" s="54">
        <v>2024</v>
      </c>
      <c r="H232" s="32">
        <v>6170</v>
      </c>
      <c r="I232" s="33" t="s">
        <v>170</v>
      </c>
    </row>
    <row r="233" spans="1:9">
      <c r="A233" s="42"/>
      <c r="B233" s="42"/>
      <c r="C233" s="30">
        <v>16</v>
      </c>
      <c r="D233" s="4"/>
      <c r="E233" s="31" t="s">
        <v>6</v>
      </c>
      <c r="F233" s="31" t="s">
        <v>8</v>
      </c>
      <c r="G233" s="54">
        <v>2024</v>
      </c>
      <c r="H233" s="32">
        <v>2540</v>
      </c>
      <c r="I233" s="33" t="s">
        <v>189</v>
      </c>
    </row>
    <row r="234" spans="1:9">
      <c r="A234" s="42"/>
      <c r="B234" s="42"/>
      <c r="C234" s="38" t="s">
        <v>249</v>
      </c>
      <c r="D234" s="38"/>
      <c r="E234" s="38"/>
      <c r="F234" s="38"/>
      <c r="G234" s="38"/>
      <c r="H234" s="22">
        <f>SUM(H218:H233)</f>
        <v>54090</v>
      </c>
      <c r="I234" s="23" t="s">
        <v>252</v>
      </c>
    </row>
    <row r="235" spans="1:9">
      <c r="A235" s="42"/>
      <c r="B235" s="65" t="s">
        <v>250</v>
      </c>
      <c r="C235" s="24"/>
      <c r="D235" s="24"/>
      <c r="E235" s="24"/>
      <c r="F235" s="24"/>
      <c r="G235" s="25"/>
      <c r="H235" s="26">
        <f>SUM(H234,H217,H212)</f>
        <v>93460</v>
      </c>
      <c r="I235" s="27" t="s">
        <v>254</v>
      </c>
    </row>
    <row r="236" spans="1:9">
      <c r="A236" s="43" t="s">
        <v>506</v>
      </c>
      <c r="B236" s="43"/>
      <c r="C236" s="43"/>
      <c r="D236" s="43"/>
      <c r="E236" s="43"/>
      <c r="F236" s="43"/>
      <c r="G236" s="43"/>
      <c r="H236" s="39">
        <f>SUM(H235,H199,H162,H112,H55)</f>
        <v>745740</v>
      </c>
      <c r="I236" s="40" t="s">
        <v>507</v>
      </c>
    </row>
  </sheetData>
  <sortState xmlns:xlrd2="http://schemas.microsoft.com/office/spreadsheetml/2017/richdata2" ref="C3:X215">
    <sortCondition ref="G3:G215"/>
    <sortCondition ref="F3:F215"/>
    <sortCondition ref="I3:I215"/>
  </sortState>
  <mergeCells count="42">
    <mergeCell ref="A200:A235"/>
    <mergeCell ref="B200:B212"/>
    <mergeCell ref="B213:B217"/>
    <mergeCell ref="B218:B234"/>
    <mergeCell ref="A236:G236"/>
    <mergeCell ref="B235:G235"/>
    <mergeCell ref="A56:A112"/>
    <mergeCell ref="B56:B73"/>
    <mergeCell ref="B74:B79"/>
    <mergeCell ref="B80:B111"/>
    <mergeCell ref="B113:B141"/>
    <mergeCell ref="B142:B143"/>
    <mergeCell ref="B144:B161"/>
    <mergeCell ref="A113:A162"/>
    <mergeCell ref="A163:A199"/>
    <mergeCell ref="B163:B184"/>
    <mergeCell ref="B185:B189"/>
    <mergeCell ref="B190:B198"/>
    <mergeCell ref="B112:G112"/>
    <mergeCell ref="B162:G162"/>
    <mergeCell ref="C217:G217"/>
    <mergeCell ref="C234:G234"/>
    <mergeCell ref="C184:G184"/>
    <mergeCell ref="C189:G189"/>
    <mergeCell ref="C198:G198"/>
    <mergeCell ref="C212:G212"/>
    <mergeCell ref="B199:G199"/>
    <mergeCell ref="C143:G143"/>
    <mergeCell ref="C161:G161"/>
    <mergeCell ref="C141:G141"/>
    <mergeCell ref="C73:G73"/>
    <mergeCell ref="C79:G79"/>
    <mergeCell ref="C111:G111"/>
    <mergeCell ref="C25:G25"/>
    <mergeCell ref="C29:G29"/>
    <mergeCell ref="C54:G54"/>
    <mergeCell ref="A1:I1"/>
    <mergeCell ref="A3:A55"/>
    <mergeCell ref="B3:B25"/>
    <mergeCell ref="B26:B29"/>
    <mergeCell ref="B30:B54"/>
    <mergeCell ref="B55:G55"/>
  </mergeCells>
  <phoneticPr fontId="4" type="noConversion"/>
  <pageMargins left="0.25" right="0.25" top="0.75" bottom="0.75" header="0.3" footer="0.3"/>
  <pageSetup scale="74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2F0E-5B11-48D1-870F-E3DAA653DED3}">
  <dimension ref="A1:I251"/>
  <sheetViews>
    <sheetView topLeftCell="A9" zoomScale="96" zoomScaleNormal="96" workbookViewId="0">
      <selection activeCell="I62" sqref="I62"/>
    </sheetView>
  </sheetViews>
  <sheetFormatPr defaultRowHeight="16.5"/>
  <cols>
    <col min="3" max="3" width="5.75" customWidth="1"/>
    <col min="4" max="4" width="9.25" customWidth="1"/>
    <col min="5" max="5" width="7.125" customWidth="1"/>
    <col min="6" max="6" width="17.125" customWidth="1"/>
    <col min="7" max="7" width="14.25" customWidth="1"/>
    <col min="8" max="8" width="12.5" customWidth="1"/>
    <col min="9" max="9" width="45.625" customWidth="1"/>
  </cols>
  <sheetData>
    <row r="1" spans="1:9" ht="17.25">
      <c r="A1" s="5" t="s">
        <v>482</v>
      </c>
      <c r="B1" s="5"/>
      <c r="C1" s="5"/>
      <c r="D1" s="5"/>
      <c r="E1" s="5"/>
      <c r="F1" s="5"/>
      <c r="G1" s="5"/>
      <c r="H1" s="5"/>
      <c r="I1" s="5"/>
    </row>
    <row r="2" spans="1:9">
      <c r="A2" s="7" t="s">
        <v>256</v>
      </c>
      <c r="B2" s="7" t="s">
        <v>265</v>
      </c>
      <c r="C2" s="7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9" t="s">
        <v>264</v>
      </c>
      <c r="I2" s="28" t="s">
        <v>5</v>
      </c>
    </row>
    <row r="3" spans="1:9">
      <c r="A3" s="75" t="s">
        <v>484</v>
      </c>
      <c r="B3" s="19" t="s">
        <v>257</v>
      </c>
      <c r="C3" s="8">
        <v>1</v>
      </c>
      <c r="D3" s="8"/>
      <c r="E3" s="8" t="s">
        <v>6</v>
      </c>
      <c r="F3" s="8" t="s">
        <v>9</v>
      </c>
      <c r="G3" s="9">
        <v>2019</v>
      </c>
      <c r="H3" s="10">
        <v>3890</v>
      </c>
      <c r="I3" s="11" t="s">
        <v>266</v>
      </c>
    </row>
    <row r="4" spans="1:9">
      <c r="A4" s="76"/>
      <c r="B4" s="19"/>
      <c r="C4" s="8">
        <v>2</v>
      </c>
      <c r="D4" s="8"/>
      <c r="E4" s="8" t="s">
        <v>6</v>
      </c>
      <c r="F4" s="8" t="s">
        <v>9</v>
      </c>
      <c r="G4" s="9">
        <v>2019</v>
      </c>
      <c r="H4" s="10">
        <v>1670</v>
      </c>
      <c r="I4" s="11" t="s">
        <v>266</v>
      </c>
    </row>
    <row r="5" spans="1:9">
      <c r="A5" s="76"/>
      <c r="B5" s="19"/>
      <c r="C5" s="8">
        <v>3</v>
      </c>
      <c r="D5" s="8"/>
      <c r="E5" s="8" t="s">
        <v>6</v>
      </c>
      <c r="F5" s="8" t="s">
        <v>9</v>
      </c>
      <c r="G5" s="9">
        <v>2019</v>
      </c>
      <c r="H5" s="10">
        <v>7960</v>
      </c>
      <c r="I5" s="11" t="s">
        <v>267</v>
      </c>
    </row>
    <row r="6" spans="1:9">
      <c r="A6" s="76"/>
      <c r="B6" s="19"/>
      <c r="C6" s="8">
        <v>4</v>
      </c>
      <c r="D6" s="8"/>
      <c r="E6" s="8" t="s">
        <v>6</v>
      </c>
      <c r="F6" s="8" t="s">
        <v>9</v>
      </c>
      <c r="G6" s="9">
        <v>2019</v>
      </c>
      <c r="H6" s="10">
        <v>3190</v>
      </c>
      <c r="I6" s="11" t="s">
        <v>268</v>
      </c>
    </row>
    <row r="7" spans="1:9">
      <c r="A7" s="76"/>
      <c r="B7" s="19"/>
      <c r="C7" s="8">
        <v>5</v>
      </c>
      <c r="D7" s="8"/>
      <c r="E7" s="8" t="s">
        <v>6</v>
      </c>
      <c r="F7" s="8" t="s">
        <v>9</v>
      </c>
      <c r="G7" s="9">
        <v>2019</v>
      </c>
      <c r="H7" s="10">
        <v>1430</v>
      </c>
      <c r="I7" s="11" t="s">
        <v>269</v>
      </c>
    </row>
    <row r="8" spans="1:9">
      <c r="A8" s="76"/>
      <c r="B8" s="19"/>
      <c r="C8" s="8">
        <v>6</v>
      </c>
      <c r="D8" s="8"/>
      <c r="E8" s="8" t="s">
        <v>6</v>
      </c>
      <c r="F8" s="8" t="s">
        <v>9</v>
      </c>
      <c r="G8" s="9">
        <v>2019</v>
      </c>
      <c r="H8" s="10">
        <v>3260</v>
      </c>
      <c r="I8" s="11" t="s">
        <v>270</v>
      </c>
    </row>
    <row r="9" spans="1:9">
      <c r="A9" s="76"/>
      <c r="B9" s="19"/>
      <c r="C9" s="8">
        <v>7</v>
      </c>
      <c r="D9" s="8"/>
      <c r="E9" s="8" t="s">
        <v>6</v>
      </c>
      <c r="F9" s="8" t="s">
        <v>9</v>
      </c>
      <c r="G9" s="9">
        <v>2019</v>
      </c>
      <c r="H9" s="10">
        <v>3250</v>
      </c>
      <c r="I9" s="11" t="s">
        <v>271</v>
      </c>
    </row>
    <row r="10" spans="1:9">
      <c r="A10" s="76"/>
      <c r="B10" s="19"/>
      <c r="C10" s="8">
        <v>8</v>
      </c>
      <c r="D10" s="8"/>
      <c r="E10" s="8" t="s">
        <v>6</v>
      </c>
      <c r="F10" s="8" t="s">
        <v>9</v>
      </c>
      <c r="G10" s="9">
        <v>2019</v>
      </c>
      <c r="H10" s="10">
        <v>8380</v>
      </c>
      <c r="I10" s="11" t="s">
        <v>272</v>
      </c>
    </row>
    <row r="11" spans="1:9">
      <c r="A11" s="76"/>
      <c r="B11" s="19"/>
      <c r="C11" s="8">
        <v>9</v>
      </c>
      <c r="D11" s="8"/>
      <c r="E11" s="8" t="s">
        <v>6</v>
      </c>
      <c r="F11" s="8" t="s">
        <v>9</v>
      </c>
      <c r="G11" s="9">
        <v>2019</v>
      </c>
      <c r="H11" s="10">
        <v>3780</v>
      </c>
      <c r="I11" s="11" t="s">
        <v>273</v>
      </c>
    </row>
    <row r="12" spans="1:9">
      <c r="A12" s="76"/>
      <c r="B12" s="19"/>
      <c r="C12" s="8">
        <v>10</v>
      </c>
      <c r="D12" s="8"/>
      <c r="E12" s="8" t="s">
        <v>6</v>
      </c>
      <c r="F12" s="8" t="s">
        <v>9</v>
      </c>
      <c r="G12" s="9">
        <v>2019</v>
      </c>
      <c r="H12" s="10">
        <v>3150</v>
      </c>
      <c r="I12" s="11" t="s">
        <v>274</v>
      </c>
    </row>
    <row r="13" spans="1:9">
      <c r="A13" s="76"/>
      <c r="B13" s="19"/>
      <c r="C13" s="8">
        <v>11</v>
      </c>
      <c r="D13" s="8"/>
      <c r="E13" s="8" t="s">
        <v>6</v>
      </c>
      <c r="F13" s="8" t="s">
        <v>9</v>
      </c>
      <c r="G13" s="9">
        <v>2019</v>
      </c>
      <c r="H13" s="10">
        <v>1640</v>
      </c>
      <c r="I13" s="11" t="s">
        <v>275</v>
      </c>
    </row>
    <row r="14" spans="1:9">
      <c r="A14" s="76"/>
      <c r="B14" s="19"/>
      <c r="C14" s="8">
        <v>12</v>
      </c>
      <c r="D14" s="8"/>
      <c r="E14" s="8" t="s">
        <v>6</v>
      </c>
      <c r="F14" s="8" t="s">
        <v>9</v>
      </c>
      <c r="G14" s="9">
        <v>2019</v>
      </c>
      <c r="H14" s="10">
        <v>1360</v>
      </c>
      <c r="I14" s="11" t="s">
        <v>276</v>
      </c>
    </row>
    <row r="15" spans="1:9">
      <c r="A15" s="76"/>
      <c r="B15" s="19"/>
      <c r="C15" s="8">
        <v>13</v>
      </c>
      <c r="D15" s="8"/>
      <c r="E15" s="8" t="s">
        <v>6</v>
      </c>
      <c r="F15" s="8" t="s">
        <v>9</v>
      </c>
      <c r="G15" s="9">
        <v>2019</v>
      </c>
      <c r="H15" s="10">
        <v>5320</v>
      </c>
      <c r="I15" s="11" t="s">
        <v>277</v>
      </c>
    </row>
    <row r="16" spans="1:9">
      <c r="A16" s="76"/>
      <c r="B16" s="19"/>
      <c r="C16" s="8">
        <v>14</v>
      </c>
      <c r="D16" s="8"/>
      <c r="E16" s="8" t="s">
        <v>6</v>
      </c>
      <c r="F16" s="8" t="s">
        <v>9</v>
      </c>
      <c r="G16" s="9">
        <v>2019</v>
      </c>
      <c r="H16" s="10">
        <v>2700</v>
      </c>
      <c r="I16" s="11" t="s">
        <v>278</v>
      </c>
    </row>
    <row r="17" spans="1:9">
      <c r="A17" s="76"/>
      <c r="B17" s="19"/>
      <c r="C17" s="8">
        <v>15</v>
      </c>
      <c r="D17" s="8"/>
      <c r="E17" s="8" t="s">
        <v>6</v>
      </c>
      <c r="F17" s="8" t="s">
        <v>9</v>
      </c>
      <c r="G17" s="9">
        <v>2019</v>
      </c>
      <c r="H17" s="10">
        <v>2600</v>
      </c>
      <c r="I17" s="11" t="s">
        <v>279</v>
      </c>
    </row>
    <row r="18" spans="1:9">
      <c r="A18" s="76"/>
      <c r="B18" s="19"/>
      <c r="C18" s="8">
        <v>16</v>
      </c>
      <c r="D18" s="8"/>
      <c r="E18" s="8" t="s">
        <v>6</v>
      </c>
      <c r="F18" s="8" t="s">
        <v>9</v>
      </c>
      <c r="G18" s="9">
        <v>2019</v>
      </c>
      <c r="H18" s="10">
        <v>3600</v>
      </c>
      <c r="I18" s="11" t="s">
        <v>280</v>
      </c>
    </row>
    <row r="19" spans="1:9">
      <c r="A19" s="76"/>
      <c r="B19" s="19"/>
      <c r="C19" s="8">
        <v>17</v>
      </c>
      <c r="D19" s="8"/>
      <c r="E19" s="8" t="s">
        <v>6</v>
      </c>
      <c r="F19" s="8" t="s">
        <v>9</v>
      </c>
      <c r="G19" s="9">
        <v>2019</v>
      </c>
      <c r="H19" s="10">
        <v>3250</v>
      </c>
      <c r="I19" s="11" t="s">
        <v>281</v>
      </c>
    </row>
    <row r="20" spans="1:9">
      <c r="A20" s="76"/>
      <c r="B20" s="19"/>
      <c r="C20" s="8">
        <v>18</v>
      </c>
      <c r="D20" s="8"/>
      <c r="E20" s="8" t="s">
        <v>6</v>
      </c>
      <c r="F20" s="8" t="s">
        <v>9</v>
      </c>
      <c r="G20" s="9">
        <v>2019</v>
      </c>
      <c r="H20" s="10">
        <v>6870</v>
      </c>
      <c r="I20" s="11" t="s">
        <v>282</v>
      </c>
    </row>
    <row r="21" spans="1:9">
      <c r="A21" s="76"/>
      <c r="B21" s="19"/>
      <c r="C21" s="8">
        <v>19</v>
      </c>
      <c r="D21" s="8"/>
      <c r="E21" s="8" t="s">
        <v>6</v>
      </c>
      <c r="F21" s="8" t="s">
        <v>9</v>
      </c>
      <c r="G21" s="9">
        <v>2019</v>
      </c>
      <c r="H21" s="10">
        <v>4410</v>
      </c>
      <c r="I21" s="11" t="s">
        <v>283</v>
      </c>
    </row>
    <row r="22" spans="1:9">
      <c r="A22" s="76"/>
      <c r="B22" s="19"/>
      <c r="C22" s="8">
        <v>20</v>
      </c>
      <c r="D22" s="8"/>
      <c r="E22" s="8" t="s">
        <v>6</v>
      </c>
      <c r="F22" s="8" t="s">
        <v>9</v>
      </c>
      <c r="G22" s="9">
        <v>2019</v>
      </c>
      <c r="H22" s="10">
        <v>4410</v>
      </c>
      <c r="I22" s="11" t="s">
        <v>283</v>
      </c>
    </row>
    <row r="23" spans="1:9">
      <c r="A23" s="76"/>
      <c r="B23" s="19"/>
      <c r="C23" s="8">
        <v>21</v>
      </c>
      <c r="D23" s="8"/>
      <c r="E23" s="8" t="s">
        <v>6</v>
      </c>
      <c r="F23" s="8" t="s">
        <v>9</v>
      </c>
      <c r="G23" s="9">
        <v>2019</v>
      </c>
      <c r="H23" s="10">
        <v>3500</v>
      </c>
      <c r="I23" s="11" t="s">
        <v>284</v>
      </c>
    </row>
    <row r="24" spans="1:9">
      <c r="A24" s="76"/>
      <c r="B24" s="19"/>
      <c r="C24" s="8">
        <v>22</v>
      </c>
      <c r="D24" s="8"/>
      <c r="E24" s="8" t="s">
        <v>6</v>
      </c>
      <c r="F24" s="8" t="s">
        <v>9</v>
      </c>
      <c r="G24" s="9">
        <v>2019</v>
      </c>
      <c r="H24" s="10">
        <v>3320</v>
      </c>
      <c r="I24" s="11" t="s">
        <v>285</v>
      </c>
    </row>
    <row r="25" spans="1:9">
      <c r="A25" s="76"/>
      <c r="B25" s="19"/>
      <c r="C25" s="8">
        <v>23</v>
      </c>
      <c r="D25" s="8"/>
      <c r="E25" s="8" t="s">
        <v>6</v>
      </c>
      <c r="F25" s="8" t="s">
        <v>9</v>
      </c>
      <c r="G25" s="9">
        <v>2019</v>
      </c>
      <c r="H25" s="10">
        <v>3320</v>
      </c>
      <c r="I25" s="11" t="s">
        <v>285</v>
      </c>
    </row>
    <row r="26" spans="1:9">
      <c r="A26" s="76"/>
      <c r="B26" s="19"/>
      <c r="C26" s="8">
        <v>24</v>
      </c>
      <c r="D26" s="8"/>
      <c r="E26" s="8" t="s">
        <v>6</v>
      </c>
      <c r="F26" s="8" t="s">
        <v>9</v>
      </c>
      <c r="G26" s="9">
        <v>2019</v>
      </c>
      <c r="H26" s="10">
        <v>2080</v>
      </c>
      <c r="I26" s="11" t="s">
        <v>286</v>
      </c>
    </row>
    <row r="27" spans="1:9">
      <c r="A27" s="76"/>
      <c r="B27" s="19"/>
      <c r="C27" s="8">
        <v>25</v>
      </c>
      <c r="D27" s="8"/>
      <c r="E27" s="8" t="s">
        <v>6</v>
      </c>
      <c r="F27" s="8" t="s">
        <v>9</v>
      </c>
      <c r="G27" s="9">
        <v>2019</v>
      </c>
      <c r="H27" s="10">
        <v>3160</v>
      </c>
      <c r="I27" s="11" t="s">
        <v>287</v>
      </c>
    </row>
    <row r="28" spans="1:9">
      <c r="A28" s="76"/>
      <c r="B28" s="19"/>
      <c r="C28" s="8">
        <v>26</v>
      </c>
      <c r="D28" s="8"/>
      <c r="E28" s="8" t="s">
        <v>6</v>
      </c>
      <c r="F28" s="8" t="s">
        <v>9</v>
      </c>
      <c r="G28" s="9">
        <v>2019</v>
      </c>
      <c r="H28" s="10">
        <v>4510</v>
      </c>
      <c r="I28" s="11" t="s">
        <v>288</v>
      </c>
    </row>
    <row r="29" spans="1:9">
      <c r="A29" s="76"/>
      <c r="B29" s="19"/>
      <c r="C29" s="8">
        <v>27</v>
      </c>
      <c r="D29" s="8"/>
      <c r="E29" s="8" t="s">
        <v>6</v>
      </c>
      <c r="F29" s="8" t="s">
        <v>9</v>
      </c>
      <c r="G29" s="9">
        <v>2019</v>
      </c>
      <c r="H29" s="10">
        <v>3290</v>
      </c>
      <c r="I29" s="11" t="s">
        <v>289</v>
      </c>
    </row>
    <row r="30" spans="1:9">
      <c r="A30" s="76"/>
      <c r="B30" s="19"/>
      <c r="C30" s="8">
        <v>28</v>
      </c>
      <c r="D30" s="8"/>
      <c r="E30" s="8" t="s">
        <v>6</v>
      </c>
      <c r="F30" s="8" t="s">
        <v>9</v>
      </c>
      <c r="G30" s="9">
        <v>2019</v>
      </c>
      <c r="H30" s="10">
        <v>8910</v>
      </c>
      <c r="I30" s="11" t="s">
        <v>290</v>
      </c>
    </row>
    <row r="31" spans="1:9">
      <c r="A31" s="76"/>
      <c r="B31" s="19"/>
      <c r="C31" s="8">
        <v>29</v>
      </c>
      <c r="D31" s="8"/>
      <c r="E31" s="8" t="s">
        <v>6</v>
      </c>
      <c r="F31" s="8" t="s">
        <v>9</v>
      </c>
      <c r="G31" s="9">
        <v>2019</v>
      </c>
      <c r="H31" s="10">
        <v>1580</v>
      </c>
      <c r="I31" s="11" t="s">
        <v>291</v>
      </c>
    </row>
    <row r="32" spans="1:9">
      <c r="A32" s="76"/>
      <c r="B32" s="19"/>
      <c r="C32" s="8">
        <v>30</v>
      </c>
      <c r="D32" s="8"/>
      <c r="E32" s="8" t="s">
        <v>6</v>
      </c>
      <c r="F32" s="8" t="s">
        <v>9</v>
      </c>
      <c r="G32" s="9">
        <v>2019</v>
      </c>
      <c r="H32" s="10">
        <v>1270</v>
      </c>
      <c r="I32" s="11" t="s">
        <v>292</v>
      </c>
    </row>
    <row r="33" spans="1:9">
      <c r="A33" s="76"/>
      <c r="B33" s="19"/>
      <c r="C33" s="8">
        <v>31</v>
      </c>
      <c r="D33" s="8"/>
      <c r="E33" s="8" t="s">
        <v>6</v>
      </c>
      <c r="F33" s="8" t="s">
        <v>9</v>
      </c>
      <c r="G33" s="9">
        <v>2019</v>
      </c>
      <c r="H33" s="10">
        <v>2900</v>
      </c>
      <c r="I33" s="11" t="s">
        <v>293</v>
      </c>
    </row>
    <row r="34" spans="1:9">
      <c r="A34" s="76"/>
      <c r="B34" s="19"/>
      <c r="C34" s="8">
        <v>32</v>
      </c>
      <c r="D34" s="8"/>
      <c r="E34" s="8" t="s">
        <v>6</v>
      </c>
      <c r="F34" s="8" t="s">
        <v>9</v>
      </c>
      <c r="G34" s="9">
        <v>2019</v>
      </c>
      <c r="H34" s="10">
        <v>2820</v>
      </c>
      <c r="I34" s="11" t="s">
        <v>294</v>
      </c>
    </row>
    <row r="35" spans="1:9">
      <c r="A35" s="76"/>
      <c r="B35" s="19"/>
      <c r="C35" s="8">
        <v>33</v>
      </c>
      <c r="D35" s="8"/>
      <c r="E35" s="8" t="s">
        <v>6</v>
      </c>
      <c r="F35" s="8" t="s">
        <v>9</v>
      </c>
      <c r="G35" s="9">
        <v>2019</v>
      </c>
      <c r="H35" s="10">
        <v>2390</v>
      </c>
      <c r="I35" s="11" t="s">
        <v>295</v>
      </c>
    </row>
    <row r="36" spans="1:9">
      <c r="A36" s="76"/>
      <c r="B36" s="19"/>
      <c r="C36" s="8">
        <v>34</v>
      </c>
      <c r="D36" s="8"/>
      <c r="E36" s="8" t="s">
        <v>6</v>
      </c>
      <c r="F36" s="8" t="s">
        <v>9</v>
      </c>
      <c r="G36" s="9">
        <v>2019</v>
      </c>
      <c r="H36" s="10">
        <v>3310</v>
      </c>
      <c r="I36" s="11" t="s">
        <v>296</v>
      </c>
    </row>
    <row r="37" spans="1:9">
      <c r="A37" s="76"/>
      <c r="B37" s="19"/>
      <c r="C37" s="8">
        <v>35</v>
      </c>
      <c r="D37" s="8"/>
      <c r="E37" s="8" t="s">
        <v>6</v>
      </c>
      <c r="F37" s="8" t="s">
        <v>9</v>
      </c>
      <c r="G37" s="9">
        <v>2019</v>
      </c>
      <c r="H37" s="10">
        <v>5640</v>
      </c>
      <c r="I37" s="11" t="s">
        <v>297</v>
      </c>
    </row>
    <row r="38" spans="1:9">
      <c r="A38" s="76"/>
      <c r="B38" s="19"/>
      <c r="C38" s="8">
        <v>36</v>
      </c>
      <c r="D38" s="8"/>
      <c r="E38" s="8" t="s">
        <v>6</v>
      </c>
      <c r="F38" s="8" t="s">
        <v>9</v>
      </c>
      <c r="G38" s="9">
        <v>2019</v>
      </c>
      <c r="H38" s="10">
        <v>4510</v>
      </c>
      <c r="I38" s="11" t="s">
        <v>298</v>
      </c>
    </row>
    <row r="39" spans="1:9">
      <c r="A39" s="76"/>
      <c r="B39" s="19"/>
      <c r="C39" s="8">
        <v>37</v>
      </c>
      <c r="D39" s="8"/>
      <c r="E39" s="8" t="s">
        <v>6</v>
      </c>
      <c r="F39" s="8" t="s">
        <v>9</v>
      </c>
      <c r="G39" s="9">
        <v>2019</v>
      </c>
      <c r="H39" s="10">
        <v>2650</v>
      </c>
      <c r="I39" s="11" t="s">
        <v>299</v>
      </c>
    </row>
    <row r="40" spans="1:9">
      <c r="A40" s="76"/>
      <c r="B40" s="19"/>
      <c r="C40" s="8">
        <v>38</v>
      </c>
      <c r="D40" s="8"/>
      <c r="E40" s="8" t="s">
        <v>6</v>
      </c>
      <c r="F40" s="8" t="s">
        <v>9</v>
      </c>
      <c r="G40" s="9">
        <v>2019</v>
      </c>
      <c r="H40" s="10">
        <v>7750</v>
      </c>
      <c r="I40" s="11" t="s">
        <v>300</v>
      </c>
    </row>
    <row r="41" spans="1:9">
      <c r="A41" s="76"/>
      <c r="B41" s="19"/>
      <c r="C41" s="8">
        <v>39</v>
      </c>
      <c r="D41" s="8"/>
      <c r="E41" s="8" t="s">
        <v>6</v>
      </c>
      <c r="F41" s="8" t="s">
        <v>9</v>
      </c>
      <c r="G41" s="9">
        <v>2019</v>
      </c>
      <c r="H41" s="10">
        <v>3810</v>
      </c>
      <c r="I41" s="11" t="s">
        <v>301</v>
      </c>
    </row>
    <row r="42" spans="1:9">
      <c r="A42" s="76"/>
      <c r="B42" s="19"/>
      <c r="C42" s="8">
        <v>40</v>
      </c>
      <c r="D42" s="8"/>
      <c r="E42" s="8" t="s">
        <v>6</v>
      </c>
      <c r="F42" s="8" t="s">
        <v>9</v>
      </c>
      <c r="G42" s="9">
        <v>2019</v>
      </c>
      <c r="H42" s="10">
        <v>13270</v>
      </c>
      <c r="I42" s="11" t="s">
        <v>302</v>
      </c>
    </row>
    <row r="43" spans="1:9">
      <c r="A43" s="76"/>
      <c r="B43" s="19"/>
      <c r="C43" s="17" t="s">
        <v>216</v>
      </c>
      <c r="D43" s="17"/>
      <c r="E43" s="17"/>
      <c r="F43" s="17"/>
      <c r="G43" s="17"/>
      <c r="H43" s="13">
        <f>SUM(H3:H42)</f>
        <v>160110</v>
      </c>
      <c r="I43" s="16" t="s">
        <v>483</v>
      </c>
    </row>
    <row r="44" spans="1:9">
      <c r="A44" s="76"/>
      <c r="B44" s="19" t="s">
        <v>259</v>
      </c>
      <c r="C44" s="8">
        <v>1</v>
      </c>
      <c r="D44" s="8"/>
      <c r="E44" s="8" t="s">
        <v>6</v>
      </c>
      <c r="F44" s="8" t="s">
        <v>8</v>
      </c>
      <c r="G44" s="9">
        <v>2019</v>
      </c>
      <c r="H44" s="10">
        <v>3590</v>
      </c>
      <c r="I44" s="11" t="s">
        <v>303</v>
      </c>
    </row>
    <row r="45" spans="1:9">
      <c r="A45" s="76"/>
      <c r="B45" s="19"/>
      <c r="C45" s="8">
        <v>2</v>
      </c>
      <c r="D45" s="8"/>
      <c r="E45" s="8" t="s">
        <v>6</v>
      </c>
      <c r="F45" s="8" t="s">
        <v>8</v>
      </c>
      <c r="G45" s="9">
        <v>2019</v>
      </c>
      <c r="H45" s="10">
        <v>2020</v>
      </c>
      <c r="I45" s="11" t="s">
        <v>304</v>
      </c>
    </row>
    <row r="46" spans="1:9">
      <c r="A46" s="76"/>
      <c r="B46" s="19"/>
      <c r="C46" s="8">
        <v>3</v>
      </c>
      <c r="D46" s="8"/>
      <c r="E46" s="8" t="s">
        <v>6</v>
      </c>
      <c r="F46" s="8" t="s">
        <v>8</v>
      </c>
      <c r="G46" s="9">
        <v>2019</v>
      </c>
      <c r="H46" s="10">
        <v>2090</v>
      </c>
      <c r="I46" s="11" t="s">
        <v>305</v>
      </c>
    </row>
    <row r="47" spans="1:9">
      <c r="A47" s="76"/>
      <c r="B47" s="19"/>
      <c r="C47" s="8">
        <v>4</v>
      </c>
      <c r="D47" s="8"/>
      <c r="E47" s="8" t="s">
        <v>6</v>
      </c>
      <c r="F47" s="8" t="s">
        <v>8</v>
      </c>
      <c r="G47" s="9">
        <v>2019</v>
      </c>
      <c r="H47" s="10">
        <v>2620</v>
      </c>
      <c r="I47" s="11" t="s">
        <v>306</v>
      </c>
    </row>
    <row r="48" spans="1:9">
      <c r="A48" s="76"/>
      <c r="B48" s="19"/>
      <c r="C48" s="8">
        <v>5</v>
      </c>
      <c r="D48" s="8"/>
      <c r="E48" s="8" t="s">
        <v>6</v>
      </c>
      <c r="F48" s="8" t="s">
        <v>8</v>
      </c>
      <c r="G48" s="9">
        <v>2019</v>
      </c>
      <c r="H48" s="10">
        <v>6320</v>
      </c>
      <c r="I48" s="11" t="s">
        <v>307</v>
      </c>
    </row>
    <row r="49" spans="1:9">
      <c r="A49" s="76"/>
      <c r="B49" s="19"/>
      <c r="C49" s="8">
        <v>6</v>
      </c>
      <c r="D49" s="8"/>
      <c r="E49" s="8" t="s">
        <v>6</v>
      </c>
      <c r="F49" s="8" t="s">
        <v>8</v>
      </c>
      <c r="G49" s="9">
        <v>2019</v>
      </c>
      <c r="H49" s="10">
        <v>2720</v>
      </c>
      <c r="I49" s="11" t="s">
        <v>308</v>
      </c>
    </row>
    <row r="50" spans="1:9">
      <c r="A50" s="76"/>
      <c r="B50" s="19"/>
      <c r="C50" s="8">
        <v>7</v>
      </c>
      <c r="D50" s="8"/>
      <c r="E50" s="8" t="s">
        <v>6</v>
      </c>
      <c r="F50" s="8" t="s">
        <v>8</v>
      </c>
      <c r="G50" s="9">
        <v>2019</v>
      </c>
      <c r="H50" s="12">
        <v>980</v>
      </c>
      <c r="I50" s="11" t="s">
        <v>309</v>
      </c>
    </row>
    <row r="51" spans="1:9">
      <c r="A51" s="76"/>
      <c r="B51" s="19"/>
      <c r="C51" s="8">
        <v>8</v>
      </c>
      <c r="D51" s="8"/>
      <c r="E51" s="8" t="s">
        <v>6</v>
      </c>
      <c r="F51" s="8" t="s">
        <v>8</v>
      </c>
      <c r="G51" s="9">
        <v>2019</v>
      </c>
      <c r="H51" s="10">
        <v>1900</v>
      </c>
      <c r="I51" s="11" t="s">
        <v>310</v>
      </c>
    </row>
    <row r="52" spans="1:9">
      <c r="A52" s="76"/>
      <c r="B52" s="19"/>
      <c r="C52" s="8">
        <v>9</v>
      </c>
      <c r="D52" s="8"/>
      <c r="E52" s="8" t="s">
        <v>6</v>
      </c>
      <c r="F52" s="8" t="s">
        <v>8</v>
      </c>
      <c r="G52" s="9">
        <v>2019</v>
      </c>
      <c r="H52" s="10">
        <v>2270</v>
      </c>
      <c r="I52" s="11" t="s">
        <v>311</v>
      </c>
    </row>
    <row r="53" spans="1:9">
      <c r="A53" s="76"/>
      <c r="B53" s="19"/>
      <c r="C53" s="8">
        <v>10</v>
      </c>
      <c r="D53" s="8"/>
      <c r="E53" s="8" t="s">
        <v>6</v>
      </c>
      <c r="F53" s="8" t="s">
        <v>8</v>
      </c>
      <c r="G53" s="9">
        <v>2019</v>
      </c>
      <c r="H53" s="10">
        <v>2710</v>
      </c>
      <c r="I53" s="11" t="s">
        <v>312</v>
      </c>
    </row>
    <row r="54" spans="1:9">
      <c r="A54" s="76"/>
      <c r="B54" s="19"/>
      <c r="C54" s="8">
        <v>11</v>
      </c>
      <c r="D54" s="8"/>
      <c r="E54" s="8" t="s">
        <v>6</v>
      </c>
      <c r="F54" s="8" t="s">
        <v>8</v>
      </c>
      <c r="G54" s="9">
        <v>2019</v>
      </c>
      <c r="H54" s="10">
        <v>2700</v>
      </c>
      <c r="I54" s="11" t="s">
        <v>313</v>
      </c>
    </row>
    <row r="55" spans="1:9">
      <c r="A55" s="76"/>
      <c r="B55" s="19"/>
      <c r="C55" s="8">
        <v>12</v>
      </c>
      <c r="D55" s="8"/>
      <c r="E55" s="8" t="s">
        <v>6</v>
      </c>
      <c r="F55" s="8" t="s">
        <v>8</v>
      </c>
      <c r="G55" s="9">
        <v>2019</v>
      </c>
      <c r="H55" s="10">
        <v>3680</v>
      </c>
      <c r="I55" s="11" t="s">
        <v>314</v>
      </c>
    </row>
    <row r="56" spans="1:9">
      <c r="A56" s="76"/>
      <c r="B56" s="19"/>
      <c r="C56" s="8">
        <v>13</v>
      </c>
      <c r="D56" s="8"/>
      <c r="E56" s="8" t="s">
        <v>6</v>
      </c>
      <c r="F56" s="8" t="s">
        <v>8</v>
      </c>
      <c r="G56" s="9">
        <v>2019</v>
      </c>
      <c r="H56" s="10">
        <v>2150</v>
      </c>
      <c r="I56" s="11" t="s">
        <v>315</v>
      </c>
    </row>
    <row r="57" spans="1:9">
      <c r="A57" s="76"/>
      <c r="B57" s="19"/>
      <c r="C57" s="8">
        <v>14</v>
      </c>
      <c r="D57" s="8"/>
      <c r="E57" s="8" t="s">
        <v>6</v>
      </c>
      <c r="F57" s="8" t="s">
        <v>8</v>
      </c>
      <c r="G57" s="9">
        <v>2019</v>
      </c>
      <c r="H57" s="10">
        <v>1580</v>
      </c>
      <c r="I57" s="11" t="s">
        <v>316</v>
      </c>
    </row>
    <row r="58" spans="1:9">
      <c r="A58" s="76"/>
      <c r="B58" s="19"/>
      <c r="C58" s="8">
        <v>15</v>
      </c>
      <c r="D58" s="8"/>
      <c r="E58" s="8" t="s">
        <v>6</v>
      </c>
      <c r="F58" s="8" t="s">
        <v>8</v>
      </c>
      <c r="G58" s="9">
        <v>2019</v>
      </c>
      <c r="H58" s="10">
        <v>2270</v>
      </c>
      <c r="I58" s="11" t="s">
        <v>317</v>
      </c>
    </row>
    <row r="59" spans="1:9">
      <c r="A59" s="76"/>
      <c r="B59" s="19"/>
      <c r="C59" s="8">
        <v>16</v>
      </c>
      <c r="D59" s="8"/>
      <c r="E59" s="8" t="s">
        <v>6</v>
      </c>
      <c r="F59" s="8" t="s">
        <v>8</v>
      </c>
      <c r="G59" s="9">
        <v>2019</v>
      </c>
      <c r="H59" s="10">
        <v>3740</v>
      </c>
      <c r="I59" s="11" t="s">
        <v>318</v>
      </c>
    </row>
    <row r="60" spans="1:9">
      <c r="A60" s="76"/>
      <c r="B60" s="19"/>
      <c r="C60" s="8">
        <v>17</v>
      </c>
      <c r="D60" s="8"/>
      <c r="E60" s="8" t="s">
        <v>6</v>
      </c>
      <c r="F60" s="8" t="s">
        <v>8</v>
      </c>
      <c r="G60" s="9">
        <v>2019</v>
      </c>
      <c r="H60" s="10">
        <v>2870</v>
      </c>
      <c r="I60" s="11" t="s">
        <v>319</v>
      </c>
    </row>
    <row r="61" spans="1:9">
      <c r="A61" s="76"/>
      <c r="B61" s="19"/>
      <c r="C61" s="8">
        <v>18</v>
      </c>
      <c r="D61" s="8"/>
      <c r="E61" s="8" t="s">
        <v>6</v>
      </c>
      <c r="F61" s="8" t="s">
        <v>8</v>
      </c>
      <c r="G61" s="9">
        <v>2019</v>
      </c>
      <c r="H61" s="10">
        <v>4460</v>
      </c>
      <c r="I61" s="11" t="s">
        <v>320</v>
      </c>
    </row>
    <row r="62" spans="1:9">
      <c r="A62" s="76"/>
      <c r="B62" s="19"/>
      <c r="C62" s="8">
        <v>19</v>
      </c>
      <c r="D62" s="8"/>
      <c r="E62" s="8" t="s">
        <v>6</v>
      </c>
      <c r="F62" s="8" t="s">
        <v>8</v>
      </c>
      <c r="G62" s="9">
        <v>2019</v>
      </c>
      <c r="H62" s="10">
        <v>2230</v>
      </c>
      <c r="I62" s="11" t="s">
        <v>321</v>
      </c>
    </row>
    <row r="63" spans="1:9">
      <c r="A63" s="76"/>
      <c r="B63" s="19"/>
      <c r="C63" s="8">
        <v>20</v>
      </c>
      <c r="D63" s="8"/>
      <c r="E63" s="8" t="s">
        <v>6</v>
      </c>
      <c r="F63" s="8" t="s">
        <v>8</v>
      </c>
      <c r="G63" s="9">
        <v>2019</v>
      </c>
      <c r="H63" s="10">
        <v>5080</v>
      </c>
      <c r="I63" s="11" t="s">
        <v>322</v>
      </c>
    </row>
    <row r="64" spans="1:9">
      <c r="A64" s="76"/>
      <c r="B64" s="19"/>
      <c r="C64" s="8">
        <v>21</v>
      </c>
      <c r="D64" s="8"/>
      <c r="E64" s="8" t="s">
        <v>6</v>
      </c>
      <c r="F64" s="8" t="s">
        <v>8</v>
      </c>
      <c r="G64" s="9">
        <v>2019</v>
      </c>
      <c r="H64" s="10">
        <v>3180</v>
      </c>
      <c r="I64" s="11" t="s">
        <v>323</v>
      </c>
    </row>
    <row r="65" spans="1:9">
      <c r="A65" s="76"/>
      <c r="B65" s="19"/>
      <c r="C65" s="8">
        <v>22</v>
      </c>
      <c r="D65" s="8"/>
      <c r="E65" s="8" t="s">
        <v>6</v>
      </c>
      <c r="F65" s="8" t="s">
        <v>8</v>
      </c>
      <c r="G65" s="9">
        <v>2019</v>
      </c>
      <c r="H65" s="10">
        <v>1770</v>
      </c>
      <c r="I65" s="11" t="s">
        <v>324</v>
      </c>
    </row>
    <row r="66" spans="1:9">
      <c r="A66" s="76"/>
      <c r="B66" s="19"/>
      <c r="C66" s="8">
        <v>23</v>
      </c>
      <c r="D66" s="8"/>
      <c r="E66" s="8" t="s">
        <v>6</v>
      </c>
      <c r="F66" s="8" t="s">
        <v>8</v>
      </c>
      <c r="G66" s="9">
        <v>2019</v>
      </c>
      <c r="H66" s="10">
        <v>1740</v>
      </c>
      <c r="I66" s="11" t="s">
        <v>325</v>
      </c>
    </row>
    <row r="67" spans="1:9">
      <c r="A67" s="76"/>
      <c r="B67" s="19"/>
      <c r="C67" s="8">
        <v>24</v>
      </c>
      <c r="D67" s="8"/>
      <c r="E67" s="8" t="s">
        <v>6</v>
      </c>
      <c r="F67" s="8" t="s">
        <v>8</v>
      </c>
      <c r="G67" s="9">
        <v>2019</v>
      </c>
      <c r="H67" s="10">
        <v>3120</v>
      </c>
      <c r="I67" s="11" t="s">
        <v>326</v>
      </c>
    </row>
    <row r="68" spans="1:9" s="6" customFormat="1">
      <c r="A68" s="76"/>
      <c r="B68" s="19"/>
      <c r="C68" s="17" t="s">
        <v>218</v>
      </c>
      <c r="D68" s="17"/>
      <c r="E68" s="17"/>
      <c r="F68" s="17"/>
      <c r="G68" s="17"/>
      <c r="H68" s="13">
        <f>SUM(H44:H67)</f>
        <v>67790</v>
      </c>
      <c r="I68" s="16" t="s">
        <v>221</v>
      </c>
    </row>
    <row r="69" spans="1:9">
      <c r="A69" s="76"/>
      <c r="B69" s="19" t="s">
        <v>7</v>
      </c>
      <c r="C69" s="8">
        <v>1</v>
      </c>
      <c r="D69" s="8"/>
      <c r="E69" s="8" t="s">
        <v>6</v>
      </c>
      <c r="F69" s="8" t="s">
        <v>7</v>
      </c>
      <c r="G69" s="12">
        <v>2019</v>
      </c>
      <c r="H69" s="12">
        <v>840</v>
      </c>
      <c r="I69" s="11" t="s">
        <v>327</v>
      </c>
    </row>
    <row r="70" spans="1:9">
      <c r="A70" s="76"/>
      <c r="B70" s="19"/>
      <c r="C70" s="8">
        <v>2</v>
      </c>
      <c r="D70" s="8"/>
      <c r="E70" s="8" t="s">
        <v>6</v>
      </c>
      <c r="F70" s="8" t="s">
        <v>7</v>
      </c>
      <c r="G70" s="12">
        <v>2019</v>
      </c>
      <c r="H70" s="12">
        <v>340</v>
      </c>
      <c r="I70" s="11" t="s">
        <v>327</v>
      </c>
    </row>
    <row r="71" spans="1:9">
      <c r="A71" s="76"/>
      <c r="B71" s="19"/>
      <c r="C71" s="8">
        <v>3</v>
      </c>
      <c r="D71" s="8"/>
      <c r="E71" s="8" t="s">
        <v>6</v>
      </c>
      <c r="F71" s="8" t="s">
        <v>7</v>
      </c>
      <c r="G71" s="12">
        <v>2019</v>
      </c>
      <c r="H71" s="10">
        <v>1710</v>
      </c>
      <c r="I71" s="11" t="s">
        <v>328</v>
      </c>
    </row>
    <row r="72" spans="1:9">
      <c r="A72" s="76"/>
      <c r="B72" s="19"/>
      <c r="C72" s="8">
        <v>4</v>
      </c>
      <c r="D72" s="8"/>
      <c r="E72" s="8" t="s">
        <v>6</v>
      </c>
      <c r="F72" s="8" t="s">
        <v>7</v>
      </c>
      <c r="G72" s="12">
        <v>2019</v>
      </c>
      <c r="H72" s="12">
        <v>340</v>
      </c>
      <c r="I72" s="11" t="s">
        <v>328</v>
      </c>
    </row>
    <row r="73" spans="1:9">
      <c r="A73" s="76"/>
      <c r="B73" s="19"/>
      <c r="C73" s="8">
        <v>5</v>
      </c>
      <c r="D73" s="8"/>
      <c r="E73" s="8" t="s">
        <v>6</v>
      </c>
      <c r="F73" s="8" t="s">
        <v>7</v>
      </c>
      <c r="G73" s="12">
        <v>2019</v>
      </c>
      <c r="H73" s="12">
        <v>340</v>
      </c>
      <c r="I73" s="11" t="s">
        <v>328</v>
      </c>
    </row>
    <row r="74" spans="1:9">
      <c r="A74" s="76"/>
      <c r="B74" s="19"/>
      <c r="C74" s="8">
        <v>6</v>
      </c>
      <c r="D74" s="8"/>
      <c r="E74" s="8" t="s">
        <v>6</v>
      </c>
      <c r="F74" s="8" t="s">
        <v>7</v>
      </c>
      <c r="G74" s="12">
        <v>2019</v>
      </c>
      <c r="H74" s="12">
        <v>340</v>
      </c>
      <c r="I74" s="11" t="s">
        <v>328</v>
      </c>
    </row>
    <row r="75" spans="1:9">
      <c r="A75" s="76"/>
      <c r="B75" s="19"/>
      <c r="C75" s="8">
        <v>7</v>
      </c>
      <c r="D75" s="8"/>
      <c r="E75" s="8" t="s">
        <v>6</v>
      </c>
      <c r="F75" s="8" t="s">
        <v>7</v>
      </c>
      <c r="G75" s="12">
        <v>2019</v>
      </c>
      <c r="H75" s="12">
        <v>340</v>
      </c>
      <c r="I75" s="11" t="s">
        <v>328</v>
      </c>
    </row>
    <row r="76" spans="1:9">
      <c r="A76" s="76"/>
      <c r="B76" s="19"/>
      <c r="C76" s="8">
        <v>8</v>
      </c>
      <c r="D76" s="8"/>
      <c r="E76" s="8" t="s">
        <v>6</v>
      </c>
      <c r="F76" s="8" t="s">
        <v>7</v>
      </c>
      <c r="G76" s="12">
        <v>2019</v>
      </c>
      <c r="H76" s="10">
        <v>1970</v>
      </c>
      <c r="I76" s="11" t="s">
        <v>329</v>
      </c>
    </row>
    <row r="77" spans="1:9">
      <c r="A77" s="76"/>
      <c r="B77" s="19"/>
      <c r="C77" s="8">
        <v>9</v>
      </c>
      <c r="D77" s="8"/>
      <c r="E77" s="8" t="s">
        <v>6</v>
      </c>
      <c r="F77" s="8" t="s">
        <v>7</v>
      </c>
      <c r="G77" s="12">
        <v>2019</v>
      </c>
      <c r="H77" s="10">
        <v>1900</v>
      </c>
      <c r="I77" s="11" t="s">
        <v>330</v>
      </c>
    </row>
    <row r="78" spans="1:9">
      <c r="A78" s="76"/>
      <c r="B78" s="19"/>
      <c r="C78" s="8">
        <v>10</v>
      </c>
      <c r="D78" s="8"/>
      <c r="E78" s="8" t="s">
        <v>6</v>
      </c>
      <c r="F78" s="8" t="s">
        <v>7</v>
      </c>
      <c r="G78" s="12">
        <v>2019</v>
      </c>
      <c r="H78" s="10">
        <v>2020</v>
      </c>
      <c r="I78" s="11" t="s">
        <v>331</v>
      </c>
    </row>
    <row r="79" spans="1:9">
      <c r="A79" s="76"/>
      <c r="B79" s="19"/>
      <c r="C79" s="8">
        <v>11</v>
      </c>
      <c r="D79" s="8"/>
      <c r="E79" s="8" t="s">
        <v>6</v>
      </c>
      <c r="F79" s="8" t="s">
        <v>7</v>
      </c>
      <c r="G79" s="12">
        <v>2019</v>
      </c>
      <c r="H79" s="10">
        <v>2960</v>
      </c>
      <c r="I79" s="11" t="s">
        <v>332</v>
      </c>
    </row>
    <row r="80" spans="1:9">
      <c r="A80" s="76"/>
      <c r="B80" s="19"/>
      <c r="C80" s="8">
        <v>12</v>
      </c>
      <c r="D80" s="8"/>
      <c r="E80" s="8" t="s">
        <v>6</v>
      </c>
      <c r="F80" s="8" t="s">
        <v>7</v>
      </c>
      <c r="G80" s="12">
        <v>2019</v>
      </c>
      <c r="H80" s="10">
        <v>1360</v>
      </c>
      <c r="I80" s="11" t="s">
        <v>333</v>
      </c>
    </row>
    <row r="81" spans="1:9" s="6" customFormat="1">
      <c r="A81" s="76"/>
      <c r="B81" s="19"/>
      <c r="C81" s="17" t="s">
        <v>217</v>
      </c>
      <c r="D81" s="17"/>
      <c r="E81" s="17"/>
      <c r="F81" s="17"/>
      <c r="G81" s="17"/>
      <c r="H81" s="13">
        <f>SUM(H69:H80)</f>
        <v>14460</v>
      </c>
      <c r="I81" s="16" t="s">
        <v>251</v>
      </c>
    </row>
    <row r="82" spans="1:9">
      <c r="A82" s="76"/>
      <c r="B82" s="19" t="s">
        <v>7</v>
      </c>
      <c r="C82" s="8">
        <v>1</v>
      </c>
      <c r="D82" s="8"/>
      <c r="E82" s="8" t="s">
        <v>10</v>
      </c>
      <c r="F82" s="8" t="s">
        <v>7</v>
      </c>
      <c r="G82" s="12">
        <v>2019</v>
      </c>
      <c r="H82" s="12">
        <v>480</v>
      </c>
      <c r="I82" s="11" t="s">
        <v>334</v>
      </c>
    </row>
    <row r="83" spans="1:9">
      <c r="A83" s="76"/>
      <c r="B83" s="19"/>
      <c r="C83" s="8">
        <v>2</v>
      </c>
      <c r="D83" s="8"/>
      <c r="E83" s="8" t="s">
        <v>10</v>
      </c>
      <c r="F83" s="8" t="s">
        <v>7</v>
      </c>
      <c r="G83" s="12">
        <v>2019</v>
      </c>
      <c r="H83" s="10">
        <v>1600</v>
      </c>
      <c r="I83" s="11" t="s">
        <v>335</v>
      </c>
    </row>
    <row r="84" spans="1:9">
      <c r="A84" s="76"/>
      <c r="B84" s="19"/>
      <c r="C84" s="8">
        <v>3</v>
      </c>
      <c r="D84" s="8"/>
      <c r="E84" s="8" t="s">
        <v>10</v>
      </c>
      <c r="F84" s="8" t="s">
        <v>7</v>
      </c>
      <c r="G84" s="12">
        <v>2019</v>
      </c>
      <c r="H84" s="10">
        <v>2770</v>
      </c>
      <c r="I84" s="11" t="s">
        <v>336</v>
      </c>
    </row>
    <row r="85" spans="1:9">
      <c r="A85" s="76"/>
      <c r="B85" s="19"/>
      <c r="C85" s="8">
        <v>4</v>
      </c>
      <c r="D85" s="8"/>
      <c r="E85" s="8" t="s">
        <v>10</v>
      </c>
      <c r="F85" s="8" t="s">
        <v>7</v>
      </c>
      <c r="G85" s="12">
        <v>2019</v>
      </c>
      <c r="H85" s="10">
        <v>2560</v>
      </c>
      <c r="I85" s="11" t="s">
        <v>337</v>
      </c>
    </row>
    <row r="86" spans="1:9">
      <c r="A86" s="76"/>
      <c r="B86" s="19"/>
      <c r="C86" s="8">
        <v>5</v>
      </c>
      <c r="D86" s="8"/>
      <c r="E86" s="8" t="s">
        <v>10</v>
      </c>
      <c r="F86" s="8" t="s">
        <v>7</v>
      </c>
      <c r="G86" s="12">
        <v>2019</v>
      </c>
      <c r="H86" s="10">
        <v>2940</v>
      </c>
      <c r="I86" s="11" t="s">
        <v>338</v>
      </c>
    </row>
    <row r="87" spans="1:9">
      <c r="A87" s="76"/>
      <c r="B87" s="19"/>
      <c r="C87" s="44" t="s">
        <v>488</v>
      </c>
      <c r="D87" s="44"/>
      <c r="E87" s="44"/>
      <c r="F87" s="44"/>
      <c r="G87" s="44"/>
      <c r="H87" s="13">
        <f t="shared" ref="H87" si="0">SUM(H82:H86)</f>
        <v>10350</v>
      </c>
      <c r="I87" s="16" t="s">
        <v>225</v>
      </c>
    </row>
    <row r="88" spans="1:9">
      <c r="A88" s="77"/>
      <c r="B88" s="45" t="s">
        <v>489</v>
      </c>
      <c r="C88" s="45"/>
      <c r="D88" s="45"/>
      <c r="E88" s="45"/>
      <c r="F88" s="45"/>
      <c r="G88" s="45"/>
      <c r="H88" s="46">
        <f>SUM(H43,H68,H81,H87)</f>
        <v>252710</v>
      </c>
      <c r="I88" s="47" t="s">
        <v>490</v>
      </c>
    </row>
    <row r="89" spans="1:9">
      <c r="A89" s="78" t="s">
        <v>485</v>
      </c>
      <c r="B89" s="19" t="s">
        <v>257</v>
      </c>
      <c r="C89" s="8">
        <v>1</v>
      </c>
      <c r="D89" s="8"/>
      <c r="E89" s="8" t="s">
        <v>6</v>
      </c>
      <c r="F89" s="8" t="s">
        <v>9</v>
      </c>
      <c r="G89" s="12">
        <v>2020</v>
      </c>
      <c r="H89" s="10">
        <v>3890</v>
      </c>
      <c r="I89" s="11" t="s">
        <v>339</v>
      </c>
    </row>
    <row r="90" spans="1:9">
      <c r="A90" s="78"/>
      <c r="B90" s="19"/>
      <c r="C90" s="8">
        <v>2</v>
      </c>
      <c r="D90" s="8"/>
      <c r="E90" s="8" t="s">
        <v>6</v>
      </c>
      <c r="F90" s="8" t="s">
        <v>9</v>
      </c>
      <c r="G90" s="12">
        <v>2020</v>
      </c>
      <c r="H90" s="10">
        <v>2140</v>
      </c>
      <c r="I90" s="11" t="s">
        <v>340</v>
      </c>
    </row>
    <row r="91" spans="1:9">
      <c r="A91" s="78"/>
      <c r="B91" s="19"/>
      <c r="C91" s="8">
        <v>3</v>
      </c>
      <c r="D91" s="8"/>
      <c r="E91" s="8" t="s">
        <v>6</v>
      </c>
      <c r="F91" s="8" t="s">
        <v>9</v>
      </c>
      <c r="G91" s="12">
        <v>2020</v>
      </c>
      <c r="H91" s="10">
        <v>7070</v>
      </c>
      <c r="I91" s="11" t="s">
        <v>341</v>
      </c>
    </row>
    <row r="92" spans="1:9">
      <c r="A92" s="78"/>
      <c r="B92" s="19"/>
      <c r="C92" s="8">
        <v>4</v>
      </c>
      <c r="D92" s="8"/>
      <c r="E92" s="8" t="s">
        <v>6</v>
      </c>
      <c r="F92" s="8" t="s">
        <v>9</v>
      </c>
      <c r="G92" s="12">
        <v>2020</v>
      </c>
      <c r="H92" s="10">
        <v>4240</v>
      </c>
      <c r="I92" s="11" t="s">
        <v>342</v>
      </c>
    </row>
    <row r="93" spans="1:9">
      <c r="A93" s="78"/>
      <c r="B93" s="19"/>
      <c r="C93" s="8">
        <v>5</v>
      </c>
      <c r="D93" s="8"/>
      <c r="E93" s="8" t="s">
        <v>6</v>
      </c>
      <c r="F93" s="8" t="s">
        <v>9</v>
      </c>
      <c r="G93" s="12">
        <v>2020</v>
      </c>
      <c r="H93" s="10">
        <v>2600</v>
      </c>
      <c r="I93" s="11" t="s">
        <v>343</v>
      </c>
    </row>
    <row r="94" spans="1:9">
      <c r="A94" s="78"/>
      <c r="B94" s="19"/>
      <c r="C94" s="8">
        <v>6</v>
      </c>
      <c r="D94" s="8"/>
      <c r="E94" s="8" t="s">
        <v>6</v>
      </c>
      <c r="F94" s="8" t="s">
        <v>9</v>
      </c>
      <c r="G94" s="12">
        <v>2020</v>
      </c>
      <c r="H94" s="10">
        <v>5920</v>
      </c>
      <c r="I94" s="11" t="s">
        <v>344</v>
      </c>
    </row>
    <row r="95" spans="1:9">
      <c r="A95" s="78"/>
      <c r="B95" s="19"/>
      <c r="C95" s="8">
        <v>7</v>
      </c>
      <c r="D95" s="8"/>
      <c r="E95" s="8" t="s">
        <v>6</v>
      </c>
      <c r="F95" s="8" t="s">
        <v>9</v>
      </c>
      <c r="G95" s="12">
        <v>2020</v>
      </c>
      <c r="H95" s="10">
        <v>4960</v>
      </c>
      <c r="I95" s="11" t="s">
        <v>345</v>
      </c>
    </row>
    <row r="96" spans="1:9">
      <c r="A96" s="78"/>
      <c r="B96" s="19"/>
      <c r="C96" s="8">
        <v>8</v>
      </c>
      <c r="D96" s="8"/>
      <c r="E96" s="8" t="s">
        <v>6</v>
      </c>
      <c r="F96" s="8" t="s">
        <v>9</v>
      </c>
      <c r="G96" s="12">
        <v>2020</v>
      </c>
      <c r="H96" s="10">
        <v>2720</v>
      </c>
      <c r="I96" s="11" t="s">
        <v>346</v>
      </c>
    </row>
    <row r="97" spans="1:9">
      <c r="A97" s="78"/>
      <c r="B97" s="19"/>
      <c r="C97" s="8">
        <v>9</v>
      </c>
      <c r="D97" s="8"/>
      <c r="E97" s="8" t="s">
        <v>6</v>
      </c>
      <c r="F97" s="8" t="s">
        <v>9</v>
      </c>
      <c r="G97" s="12">
        <v>2020</v>
      </c>
      <c r="H97" s="10">
        <v>3320</v>
      </c>
      <c r="I97" s="11" t="s">
        <v>347</v>
      </c>
    </row>
    <row r="98" spans="1:9">
      <c r="A98" s="78"/>
      <c r="B98" s="19"/>
      <c r="C98" s="8">
        <v>10</v>
      </c>
      <c r="D98" s="8"/>
      <c r="E98" s="8" t="s">
        <v>6</v>
      </c>
      <c r="F98" s="8" t="s">
        <v>9</v>
      </c>
      <c r="G98" s="12">
        <v>2020</v>
      </c>
      <c r="H98" s="10">
        <v>2310</v>
      </c>
      <c r="I98" s="11" t="s">
        <v>348</v>
      </c>
    </row>
    <row r="99" spans="1:9">
      <c r="A99" s="78"/>
      <c r="B99" s="19"/>
      <c r="C99" s="8">
        <v>11</v>
      </c>
      <c r="D99" s="8"/>
      <c r="E99" s="8" t="s">
        <v>6</v>
      </c>
      <c r="F99" s="8" t="s">
        <v>9</v>
      </c>
      <c r="G99" s="12">
        <v>2020</v>
      </c>
      <c r="H99" s="10">
        <v>4510</v>
      </c>
      <c r="I99" s="11" t="s">
        <v>349</v>
      </c>
    </row>
    <row r="100" spans="1:9">
      <c r="A100" s="78"/>
      <c r="B100" s="19"/>
      <c r="C100" s="8">
        <v>12</v>
      </c>
      <c r="D100" s="8"/>
      <c r="E100" s="8" t="s">
        <v>6</v>
      </c>
      <c r="F100" s="8" t="s">
        <v>9</v>
      </c>
      <c r="G100" s="12">
        <v>2020</v>
      </c>
      <c r="H100" s="10">
        <v>3600</v>
      </c>
      <c r="I100" s="11" t="s">
        <v>350</v>
      </c>
    </row>
    <row r="101" spans="1:9">
      <c r="A101" s="78"/>
      <c r="B101" s="19"/>
      <c r="C101" s="8">
        <v>13</v>
      </c>
      <c r="D101" s="8"/>
      <c r="E101" s="8" t="s">
        <v>6</v>
      </c>
      <c r="F101" s="8" t="s">
        <v>9</v>
      </c>
      <c r="G101" s="12">
        <v>2020</v>
      </c>
      <c r="H101" s="10">
        <v>4960</v>
      </c>
      <c r="I101" s="11" t="s">
        <v>351</v>
      </c>
    </row>
    <row r="102" spans="1:9">
      <c r="A102" s="78"/>
      <c r="B102" s="19"/>
      <c r="C102" s="8">
        <v>14</v>
      </c>
      <c r="D102" s="8"/>
      <c r="E102" s="8" t="s">
        <v>6</v>
      </c>
      <c r="F102" s="8" t="s">
        <v>9</v>
      </c>
      <c r="G102" s="12">
        <v>2020</v>
      </c>
      <c r="H102" s="10">
        <v>3340</v>
      </c>
      <c r="I102" s="11" t="s">
        <v>352</v>
      </c>
    </row>
    <row r="103" spans="1:9">
      <c r="A103" s="78"/>
      <c r="B103" s="19"/>
      <c r="C103" s="8">
        <v>15</v>
      </c>
      <c r="D103" s="8"/>
      <c r="E103" s="8" t="s">
        <v>6</v>
      </c>
      <c r="F103" s="8" t="s">
        <v>9</v>
      </c>
      <c r="G103" s="12">
        <v>2020</v>
      </c>
      <c r="H103" s="10">
        <v>2340</v>
      </c>
      <c r="I103" s="11" t="s">
        <v>353</v>
      </c>
    </row>
    <row r="104" spans="1:9">
      <c r="A104" s="78"/>
      <c r="B104" s="19"/>
      <c r="C104" s="8">
        <v>16</v>
      </c>
      <c r="D104" s="8"/>
      <c r="E104" s="8" t="s">
        <v>6</v>
      </c>
      <c r="F104" s="8" t="s">
        <v>9</v>
      </c>
      <c r="G104" s="12">
        <v>2020</v>
      </c>
      <c r="H104" s="10">
        <v>1890</v>
      </c>
      <c r="I104" s="11" t="s">
        <v>354</v>
      </c>
    </row>
    <row r="105" spans="1:9">
      <c r="A105" s="78"/>
      <c r="B105" s="19"/>
      <c r="C105" s="8">
        <v>17</v>
      </c>
      <c r="D105" s="8"/>
      <c r="E105" s="8" t="s">
        <v>6</v>
      </c>
      <c r="F105" s="8" t="s">
        <v>9</v>
      </c>
      <c r="G105" s="12">
        <v>2020</v>
      </c>
      <c r="H105" s="10">
        <v>1900</v>
      </c>
      <c r="I105" s="11" t="s">
        <v>355</v>
      </c>
    </row>
    <row r="106" spans="1:9">
      <c r="A106" s="78"/>
      <c r="B106" s="19"/>
      <c r="C106" s="8">
        <v>18</v>
      </c>
      <c r="D106" s="8"/>
      <c r="E106" s="8" t="s">
        <v>6</v>
      </c>
      <c r="F106" s="8" t="s">
        <v>9</v>
      </c>
      <c r="G106" s="12">
        <v>2020</v>
      </c>
      <c r="H106" s="10">
        <v>9310</v>
      </c>
      <c r="I106" s="11" t="s">
        <v>356</v>
      </c>
    </row>
    <row r="107" spans="1:9">
      <c r="A107" s="78"/>
      <c r="B107" s="19"/>
      <c r="C107" s="8">
        <v>19</v>
      </c>
      <c r="D107" s="8"/>
      <c r="E107" s="8" t="s">
        <v>6</v>
      </c>
      <c r="F107" s="8" t="s">
        <v>9</v>
      </c>
      <c r="G107" s="12">
        <v>2020</v>
      </c>
      <c r="H107" s="10">
        <v>3790</v>
      </c>
      <c r="I107" s="11" t="s">
        <v>357</v>
      </c>
    </row>
    <row r="108" spans="1:9">
      <c r="A108" s="78"/>
      <c r="B108" s="19"/>
      <c r="C108" s="8">
        <v>20</v>
      </c>
      <c r="D108" s="8"/>
      <c r="E108" s="8" t="s">
        <v>6</v>
      </c>
      <c r="F108" s="8" t="s">
        <v>9</v>
      </c>
      <c r="G108" s="12">
        <v>2020</v>
      </c>
      <c r="H108" s="10">
        <v>2000</v>
      </c>
      <c r="I108" s="11" t="s">
        <v>358</v>
      </c>
    </row>
    <row r="109" spans="1:9">
      <c r="A109" s="78"/>
      <c r="B109" s="19"/>
      <c r="C109" s="8">
        <v>21</v>
      </c>
      <c r="D109" s="8"/>
      <c r="E109" s="8" t="s">
        <v>6</v>
      </c>
      <c r="F109" s="8" t="s">
        <v>9</v>
      </c>
      <c r="G109" s="12">
        <v>2020</v>
      </c>
      <c r="H109" s="10">
        <v>1170</v>
      </c>
      <c r="I109" s="11" t="s">
        <v>359</v>
      </c>
    </row>
    <row r="110" spans="1:9">
      <c r="A110" s="78"/>
      <c r="B110" s="19"/>
      <c r="C110" s="8">
        <v>22</v>
      </c>
      <c r="D110" s="8"/>
      <c r="E110" s="8" t="s">
        <v>6</v>
      </c>
      <c r="F110" s="8" t="s">
        <v>9</v>
      </c>
      <c r="G110" s="12">
        <v>2020</v>
      </c>
      <c r="H110" s="10">
        <v>3340</v>
      </c>
      <c r="I110" s="11" t="s">
        <v>360</v>
      </c>
    </row>
    <row r="111" spans="1:9">
      <c r="A111" s="78"/>
      <c r="B111" s="19"/>
      <c r="C111" s="8">
        <v>23</v>
      </c>
      <c r="D111" s="8"/>
      <c r="E111" s="8" t="s">
        <v>6</v>
      </c>
      <c r="F111" s="8" t="s">
        <v>9</v>
      </c>
      <c r="G111" s="12">
        <v>2020</v>
      </c>
      <c r="H111" s="10">
        <v>4490</v>
      </c>
      <c r="I111" s="11" t="s">
        <v>361</v>
      </c>
    </row>
    <row r="112" spans="1:9">
      <c r="A112" s="78"/>
      <c r="B112" s="19"/>
      <c r="C112" s="17" t="s">
        <v>228</v>
      </c>
      <c r="D112" s="17"/>
      <c r="E112" s="17"/>
      <c r="F112" s="17"/>
      <c r="G112" s="17"/>
      <c r="H112" s="13">
        <f t="shared" ref="G112:H112" si="1">SUM(H89:H111)</f>
        <v>85810</v>
      </c>
      <c r="I112" s="16" t="s">
        <v>499</v>
      </c>
    </row>
    <row r="113" spans="1:9">
      <c r="A113" s="78"/>
      <c r="B113" s="19" t="s">
        <v>259</v>
      </c>
      <c r="C113" s="8">
        <v>1</v>
      </c>
      <c r="D113" s="8"/>
      <c r="E113" s="8" t="s">
        <v>6</v>
      </c>
      <c r="F113" s="8" t="s">
        <v>8</v>
      </c>
      <c r="G113" s="12">
        <v>2020</v>
      </c>
      <c r="H113" s="10">
        <v>3300</v>
      </c>
      <c r="I113" s="11" t="s">
        <v>362</v>
      </c>
    </row>
    <row r="114" spans="1:9">
      <c r="A114" s="78"/>
      <c r="B114" s="19"/>
      <c r="C114" s="8">
        <v>2</v>
      </c>
      <c r="D114" s="8"/>
      <c r="E114" s="8" t="s">
        <v>6</v>
      </c>
      <c r="F114" s="8" t="s">
        <v>8</v>
      </c>
      <c r="G114" s="12">
        <v>2020</v>
      </c>
      <c r="H114" s="10">
        <v>1190</v>
      </c>
      <c r="I114" s="11" t="s">
        <v>363</v>
      </c>
    </row>
    <row r="115" spans="1:9">
      <c r="A115" s="78"/>
      <c r="B115" s="19"/>
      <c r="C115" s="8">
        <v>3</v>
      </c>
      <c r="D115" s="8"/>
      <c r="E115" s="8" t="s">
        <v>6</v>
      </c>
      <c r="F115" s="8" t="s">
        <v>8</v>
      </c>
      <c r="G115" s="12">
        <v>2020</v>
      </c>
      <c r="H115" s="10">
        <v>1750</v>
      </c>
      <c r="I115" s="11" t="s">
        <v>364</v>
      </c>
    </row>
    <row r="116" spans="1:9">
      <c r="A116" s="78"/>
      <c r="B116" s="19"/>
      <c r="C116" s="8">
        <v>4</v>
      </c>
      <c r="D116" s="8"/>
      <c r="E116" s="8" t="s">
        <v>6</v>
      </c>
      <c r="F116" s="8" t="s">
        <v>8</v>
      </c>
      <c r="G116" s="12">
        <v>2020</v>
      </c>
      <c r="H116" s="10">
        <v>2760</v>
      </c>
      <c r="I116" s="11" t="s">
        <v>365</v>
      </c>
    </row>
    <row r="117" spans="1:9">
      <c r="A117" s="78"/>
      <c r="B117" s="19"/>
      <c r="C117" s="8">
        <v>5</v>
      </c>
      <c r="D117" s="8"/>
      <c r="E117" s="8" t="s">
        <v>6</v>
      </c>
      <c r="F117" s="8" t="s">
        <v>8</v>
      </c>
      <c r="G117" s="12">
        <v>2020</v>
      </c>
      <c r="H117" s="10">
        <v>5240</v>
      </c>
      <c r="I117" s="11" t="s">
        <v>366</v>
      </c>
    </row>
    <row r="118" spans="1:9">
      <c r="A118" s="78"/>
      <c r="B118" s="19"/>
      <c r="C118" s="8">
        <v>6</v>
      </c>
      <c r="D118" s="8"/>
      <c r="E118" s="8" t="s">
        <v>6</v>
      </c>
      <c r="F118" s="8" t="s">
        <v>8</v>
      </c>
      <c r="G118" s="12">
        <v>2020</v>
      </c>
      <c r="H118" s="10">
        <v>2200</v>
      </c>
      <c r="I118" s="11" t="s">
        <v>367</v>
      </c>
    </row>
    <row r="119" spans="1:9">
      <c r="A119" s="78"/>
      <c r="B119" s="19"/>
      <c r="C119" s="8">
        <v>7</v>
      </c>
      <c r="D119" s="8"/>
      <c r="E119" s="8" t="s">
        <v>6</v>
      </c>
      <c r="F119" s="8" t="s">
        <v>8</v>
      </c>
      <c r="G119" s="12">
        <v>2020</v>
      </c>
      <c r="H119" s="10">
        <v>5300</v>
      </c>
      <c r="I119" s="11" t="s">
        <v>368</v>
      </c>
    </row>
    <row r="120" spans="1:9">
      <c r="A120" s="78"/>
      <c r="B120" s="19"/>
      <c r="C120" s="8">
        <v>8</v>
      </c>
      <c r="D120" s="8"/>
      <c r="E120" s="8" t="s">
        <v>6</v>
      </c>
      <c r="F120" s="8" t="s">
        <v>8</v>
      </c>
      <c r="G120" s="12">
        <v>2020</v>
      </c>
      <c r="H120" s="10">
        <v>1700</v>
      </c>
      <c r="I120" s="11" t="s">
        <v>369</v>
      </c>
    </row>
    <row r="121" spans="1:9">
      <c r="A121" s="78"/>
      <c r="B121" s="19"/>
      <c r="C121" s="8">
        <v>9</v>
      </c>
      <c r="D121" s="8"/>
      <c r="E121" s="8" t="s">
        <v>6</v>
      </c>
      <c r="F121" s="8" t="s">
        <v>8</v>
      </c>
      <c r="G121" s="12">
        <v>2020</v>
      </c>
      <c r="H121" s="10">
        <v>5670</v>
      </c>
      <c r="I121" s="11" t="s">
        <v>370</v>
      </c>
    </row>
    <row r="122" spans="1:9">
      <c r="A122" s="78"/>
      <c r="B122" s="19"/>
      <c r="C122" s="8">
        <v>10</v>
      </c>
      <c r="D122" s="8"/>
      <c r="E122" s="8" t="s">
        <v>6</v>
      </c>
      <c r="F122" s="8" t="s">
        <v>8</v>
      </c>
      <c r="G122" s="12">
        <v>2020</v>
      </c>
      <c r="H122" s="10">
        <v>2210</v>
      </c>
      <c r="I122" s="11" t="s">
        <v>327</v>
      </c>
    </row>
    <row r="123" spans="1:9">
      <c r="A123" s="78"/>
      <c r="B123" s="19"/>
      <c r="C123" s="8">
        <v>11</v>
      </c>
      <c r="D123" s="8"/>
      <c r="E123" s="8" t="s">
        <v>6</v>
      </c>
      <c r="F123" s="8" t="s">
        <v>8</v>
      </c>
      <c r="G123" s="12">
        <v>2020</v>
      </c>
      <c r="H123" s="10">
        <v>5100</v>
      </c>
      <c r="I123" s="11" t="s">
        <v>371</v>
      </c>
    </row>
    <row r="124" spans="1:9">
      <c r="A124" s="78"/>
      <c r="B124" s="19"/>
      <c r="C124" s="8">
        <v>12</v>
      </c>
      <c r="D124" s="8"/>
      <c r="E124" s="8" t="s">
        <v>6</v>
      </c>
      <c r="F124" s="8" t="s">
        <v>8</v>
      </c>
      <c r="G124" s="12">
        <v>2020</v>
      </c>
      <c r="H124" s="12">
        <v>990</v>
      </c>
      <c r="I124" s="11" t="s">
        <v>372</v>
      </c>
    </row>
    <row r="125" spans="1:9">
      <c r="A125" s="78"/>
      <c r="B125" s="19"/>
      <c r="C125" s="8">
        <v>13</v>
      </c>
      <c r="D125" s="8"/>
      <c r="E125" s="8" t="s">
        <v>6</v>
      </c>
      <c r="F125" s="8" t="s">
        <v>8</v>
      </c>
      <c r="G125" s="12">
        <v>2020</v>
      </c>
      <c r="H125" s="10">
        <v>1740</v>
      </c>
      <c r="I125" s="11" t="s">
        <v>373</v>
      </c>
    </row>
    <row r="126" spans="1:9">
      <c r="A126" s="78"/>
      <c r="B126" s="19"/>
      <c r="C126" s="8">
        <v>14</v>
      </c>
      <c r="D126" s="8"/>
      <c r="E126" s="8" t="s">
        <v>6</v>
      </c>
      <c r="F126" s="8" t="s">
        <v>8</v>
      </c>
      <c r="G126" s="12">
        <v>2020</v>
      </c>
      <c r="H126" s="10">
        <v>6350</v>
      </c>
      <c r="I126" s="11" t="s">
        <v>374</v>
      </c>
    </row>
    <row r="127" spans="1:9">
      <c r="A127" s="78"/>
      <c r="B127" s="19"/>
      <c r="C127" s="8">
        <v>15</v>
      </c>
      <c r="D127" s="8"/>
      <c r="E127" s="8" t="s">
        <v>6</v>
      </c>
      <c r="F127" s="8" t="s">
        <v>8</v>
      </c>
      <c r="G127" s="12">
        <v>2020</v>
      </c>
      <c r="H127" s="10">
        <v>2960</v>
      </c>
      <c r="I127" s="11" t="s">
        <v>375</v>
      </c>
    </row>
    <row r="128" spans="1:9">
      <c r="A128" s="78"/>
      <c r="B128" s="19"/>
      <c r="C128" s="8">
        <v>16</v>
      </c>
      <c r="D128" s="8"/>
      <c r="E128" s="8" t="s">
        <v>6</v>
      </c>
      <c r="F128" s="8" t="s">
        <v>8</v>
      </c>
      <c r="G128" s="12">
        <v>2020</v>
      </c>
      <c r="H128" s="10">
        <v>3930</v>
      </c>
      <c r="I128" s="11" t="s">
        <v>376</v>
      </c>
    </row>
    <row r="129" spans="1:9">
      <c r="A129" s="78"/>
      <c r="B129" s="19"/>
      <c r="C129" s="8">
        <v>17</v>
      </c>
      <c r="D129" s="8"/>
      <c r="E129" s="8" t="s">
        <v>6</v>
      </c>
      <c r="F129" s="8" t="s">
        <v>8</v>
      </c>
      <c r="G129" s="12">
        <v>2020</v>
      </c>
      <c r="H129" s="10">
        <v>7050</v>
      </c>
      <c r="I129" s="11" t="s">
        <v>377</v>
      </c>
    </row>
    <row r="130" spans="1:9">
      <c r="A130" s="78"/>
      <c r="B130" s="19"/>
      <c r="C130" s="8">
        <v>18</v>
      </c>
      <c r="D130" s="8"/>
      <c r="E130" s="8" t="s">
        <v>6</v>
      </c>
      <c r="F130" s="8" t="s">
        <v>8</v>
      </c>
      <c r="G130" s="12">
        <v>2020</v>
      </c>
      <c r="H130" s="10">
        <v>3150</v>
      </c>
      <c r="I130" s="11" t="s">
        <v>378</v>
      </c>
    </row>
    <row r="131" spans="1:9">
      <c r="A131" s="78"/>
      <c r="B131" s="19"/>
      <c r="C131" s="8">
        <v>19</v>
      </c>
      <c r="D131" s="8"/>
      <c r="E131" s="8" t="s">
        <v>6</v>
      </c>
      <c r="F131" s="8" t="s">
        <v>8</v>
      </c>
      <c r="G131" s="12">
        <v>2020</v>
      </c>
      <c r="H131" s="10">
        <v>4870</v>
      </c>
      <c r="I131" s="11" t="s">
        <v>379</v>
      </c>
    </row>
    <row r="132" spans="1:9">
      <c r="A132" s="78"/>
      <c r="B132" s="19"/>
      <c r="C132" s="8">
        <v>20</v>
      </c>
      <c r="D132" s="8"/>
      <c r="E132" s="8" t="s">
        <v>6</v>
      </c>
      <c r="F132" s="8" t="s">
        <v>8</v>
      </c>
      <c r="G132" s="12">
        <v>2020</v>
      </c>
      <c r="H132" s="10">
        <v>2510</v>
      </c>
      <c r="I132" s="11" t="s">
        <v>380</v>
      </c>
    </row>
    <row r="133" spans="1:9">
      <c r="A133" s="78"/>
      <c r="B133" s="19"/>
      <c r="C133" s="8">
        <v>21</v>
      </c>
      <c r="D133" s="8"/>
      <c r="E133" s="8" t="s">
        <v>6</v>
      </c>
      <c r="F133" s="8" t="s">
        <v>8</v>
      </c>
      <c r="G133" s="12">
        <v>2020</v>
      </c>
      <c r="H133" s="10">
        <v>3510</v>
      </c>
      <c r="I133" s="11" t="s">
        <v>381</v>
      </c>
    </row>
    <row r="134" spans="1:9">
      <c r="A134" s="78"/>
      <c r="B134" s="19"/>
      <c r="C134" s="8">
        <v>22</v>
      </c>
      <c r="D134" s="8"/>
      <c r="E134" s="8" t="s">
        <v>6</v>
      </c>
      <c r="F134" s="8" t="s">
        <v>8</v>
      </c>
      <c r="G134" s="12">
        <v>2020</v>
      </c>
      <c r="H134" s="10">
        <v>3300</v>
      </c>
      <c r="I134" s="11" t="s">
        <v>382</v>
      </c>
    </row>
    <row r="135" spans="1:9">
      <c r="A135" s="78"/>
      <c r="B135" s="19"/>
      <c r="C135" s="8">
        <v>23</v>
      </c>
      <c r="D135" s="8"/>
      <c r="E135" s="8" t="s">
        <v>6</v>
      </c>
      <c r="F135" s="8" t="s">
        <v>8</v>
      </c>
      <c r="G135" s="12">
        <v>2020</v>
      </c>
      <c r="H135" s="10">
        <v>6480</v>
      </c>
      <c r="I135" s="11" t="s">
        <v>383</v>
      </c>
    </row>
    <row r="136" spans="1:9">
      <c r="A136" s="78"/>
      <c r="B136" s="19"/>
      <c r="C136" s="8">
        <v>24</v>
      </c>
      <c r="D136" s="8"/>
      <c r="E136" s="8" t="s">
        <v>6</v>
      </c>
      <c r="F136" s="8" t="s">
        <v>8</v>
      </c>
      <c r="G136" s="12">
        <v>2020</v>
      </c>
      <c r="H136" s="10">
        <v>4210</v>
      </c>
      <c r="I136" s="11" t="s">
        <v>384</v>
      </c>
    </row>
    <row r="137" spans="1:9">
      <c r="A137" s="78"/>
      <c r="B137" s="19"/>
      <c r="C137" s="20" t="s">
        <v>493</v>
      </c>
      <c r="D137" s="20"/>
      <c r="E137" s="20"/>
      <c r="F137" s="20"/>
      <c r="G137" s="20"/>
      <c r="H137" s="13">
        <f t="shared" ref="G137:H137" si="2">SUM(H113:H136)</f>
        <v>87470</v>
      </c>
      <c r="I137" s="14" t="s">
        <v>500</v>
      </c>
    </row>
    <row r="138" spans="1:9">
      <c r="A138" s="78"/>
      <c r="B138" s="19"/>
      <c r="C138" s="8">
        <v>1</v>
      </c>
      <c r="D138" s="8"/>
      <c r="E138" s="8" t="s">
        <v>10</v>
      </c>
      <c r="F138" s="8" t="s">
        <v>8</v>
      </c>
      <c r="G138" s="12">
        <v>2020</v>
      </c>
      <c r="H138" s="10">
        <v>3240</v>
      </c>
      <c r="I138" s="11" t="s">
        <v>385</v>
      </c>
    </row>
    <row r="139" spans="1:9">
      <c r="A139" s="78"/>
      <c r="B139" s="19"/>
      <c r="C139" s="20" t="s">
        <v>494</v>
      </c>
      <c r="D139" s="20"/>
      <c r="E139" s="20"/>
      <c r="F139" s="20"/>
      <c r="G139" s="20"/>
      <c r="H139" s="13">
        <f t="shared" ref="G139:H139" si="3">SUM(H138)</f>
        <v>3240</v>
      </c>
      <c r="I139" s="14" t="s">
        <v>491</v>
      </c>
    </row>
    <row r="140" spans="1:9">
      <c r="A140" s="78"/>
      <c r="B140" s="19" t="s">
        <v>7</v>
      </c>
      <c r="C140" s="8">
        <v>1</v>
      </c>
      <c r="D140" s="8"/>
      <c r="E140" s="8" t="s">
        <v>6</v>
      </c>
      <c r="F140" s="8" t="s">
        <v>7</v>
      </c>
      <c r="G140" s="12">
        <v>2020</v>
      </c>
      <c r="H140" s="10">
        <v>1440</v>
      </c>
      <c r="I140" s="11" t="s">
        <v>386</v>
      </c>
    </row>
    <row r="141" spans="1:9">
      <c r="A141" s="78"/>
      <c r="B141" s="19"/>
      <c r="C141" s="8">
        <v>2</v>
      </c>
      <c r="D141" s="8"/>
      <c r="E141" s="8" t="s">
        <v>6</v>
      </c>
      <c r="F141" s="8" t="s">
        <v>7</v>
      </c>
      <c r="G141" s="12">
        <v>2020</v>
      </c>
      <c r="H141" s="10">
        <v>1130</v>
      </c>
      <c r="I141" s="11" t="s">
        <v>387</v>
      </c>
    </row>
    <row r="142" spans="1:9">
      <c r="A142" s="78"/>
      <c r="B142" s="19"/>
      <c r="C142" s="20" t="s">
        <v>495</v>
      </c>
      <c r="D142" s="20"/>
      <c r="E142" s="20"/>
      <c r="F142" s="20"/>
      <c r="G142" s="20"/>
      <c r="H142" s="13">
        <f t="shared" ref="G142:H142" si="4">SUM(H140:H141)</f>
        <v>2570</v>
      </c>
      <c r="I142" s="14" t="s">
        <v>492</v>
      </c>
    </row>
    <row r="143" spans="1:9">
      <c r="A143" s="78"/>
      <c r="B143" s="19"/>
      <c r="C143" s="8">
        <v>3</v>
      </c>
      <c r="D143" s="8"/>
      <c r="E143" s="8" t="s">
        <v>10</v>
      </c>
      <c r="F143" s="8" t="s">
        <v>7</v>
      </c>
      <c r="G143" s="12">
        <v>2020</v>
      </c>
      <c r="H143" s="10">
        <v>2130</v>
      </c>
      <c r="I143" s="11" t="s">
        <v>388</v>
      </c>
    </row>
    <row r="144" spans="1:9">
      <c r="A144" s="78"/>
      <c r="B144" s="19"/>
      <c r="C144" s="20" t="s">
        <v>496</v>
      </c>
      <c r="D144" s="20"/>
      <c r="E144" s="20"/>
      <c r="F144" s="20"/>
      <c r="G144" s="20"/>
      <c r="H144" s="13">
        <f t="shared" ref="G144:H144" si="5">SUM(H143)</f>
        <v>2130</v>
      </c>
      <c r="I144" s="14" t="s">
        <v>491</v>
      </c>
    </row>
    <row r="145" spans="1:9">
      <c r="A145" s="78"/>
      <c r="B145" s="45" t="s">
        <v>497</v>
      </c>
      <c r="C145" s="45"/>
      <c r="D145" s="45"/>
      <c r="E145" s="45"/>
      <c r="F145" s="45"/>
      <c r="G145" s="45"/>
      <c r="H145" s="46">
        <f>SUM(H100,H125,H138,H144)</f>
        <v>10710</v>
      </c>
      <c r="I145" s="47" t="s">
        <v>498</v>
      </c>
    </row>
    <row r="146" spans="1:9">
      <c r="A146" s="78" t="s">
        <v>486</v>
      </c>
      <c r="B146" s="19" t="s">
        <v>257</v>
      </c>
      <c r="C146" s="8">
        <v>1</v>
      </c>
      <c r="D146" s="8"/>
      <c r="E146" s="8" t="s">
        <v>6</v>
      </c>
      <c r="F146" s="8" t="s">
        <v>9</v>
      </c>
      <c r="G146" s="12">
        <v>2021</v>
      </c>
      <c r="H146" s="10">
        <v>3670</v>
      </c>
      <c r="I146" s="11" t="s">
        <v>389</v>
      </c>
    </row>
    <row r="147" spans="1:9">
      <c r="A147" s="78"/>
      <c r="B147" s="19"/>
      <c r="C147" s="8">
        <v>2</v>
      </c>
      <c r="D147" s="8"/>
      <c r="E147" s="8" t="s">
        <v>6</v>
      </c>
      <c r="F147" s="8" t="s">
        <v>9</v>
      </c>
      <c r="G147" s="12">
        <v>2021</v>
      </c>
      <c r="H147" s="10">
        <v>6150</v>
      </c>
      <c r="I147" s="11" t="s">
        <v>390</v>
      </c>
    </row>
    <row r="148" spans="1:9">
      <c r="A148" s="78"/>
      <c r="B148" s="19"/>
      <c r="C148" s="8">
        <v>3</v>
      </c>
      <c r="D148" s="8"/>
      <c r="E148" s="8" t="s">
        <v>6</v>
      </c>
      <c r="F148" s="8" t="s">
        <v>9</v>
      </c>
      <c r="G148" s="12">
        <v>2021</v>
      </c>
      <c r="H148" s="10">
        <v>5420</v>
      </c>
      <c r="I148" s="11" t="s">
        <v>391</v>
      </c>
    </row>
    <row r="149" spans="1:9">
      <c r="A149" s="78"/>
      <c r="B149" s="19"/>
      <c r="C149" s="8">
        <v>4</v>
      </c>
      <c r="D149" s="8"/>
      <c r="E149" s="8" t="s">
        <v>6</v>
      </c>
      <c r="F149" s="8" t="s">
        <v>9</v>
      </c>
      <c r="G149" s="12">
        <v>2021</v>
      </c>
      <c r="H149" s="10">
        <v>7950</v>
      </c>
      <c r="I149" s="11" t="s">
        <v>392</v>
      </c>
    </row>
    <row r="150" spans="1:9">
      <c r="A150" s="78"/>
      <c r="B150" s="19"/>
      <c r="C150" s="8">
        <v>5</v>
      </c>
      <c r="D150" s="8"/>
      <c r="E150" s="8" t="s">
        <v>6</v>
      </c>
      <c r="F150" s="8" t="s">
        <v>9</v>
      </c>
      <c r="G150" s="12">
        <v>2021</v>
      </c>
      <c r="H150" s="10">
        <v>4230</v>
      </c>
      <c r="I150" s="11" t="s">
        <v>393</v>
      </c>
    </row>
    <row r="151" spans="1:9">
      <c r="A151" s="78"/>
      <c r="B151" s="19"/>
      <c r="C151" s="8">
        <v>6</v>
      </c>
      <c r="D151" s="8"/>
      <c r="E151" s="8" t="s">
        <v>6</v>
      </c>
      <c r="F151" s="8" t="s">
        <v>9</v>
      </c>
      <c r="G151" s="12">
        <v>2021</v>
      </c>
      <c r="H151" s="10">
        <v>6940</v>
      </c>
      <c r="I151" s="11" t="s">
        <v>394</v>
      </c>
    </row>
    <row r="152" spans="1:9">
      <c r="A152" s="78"/>
      <c r="B152" s="19"/>
      <c r="C152" s="8">
        <v>7</v>
      </c>
      <c r="D152" s="8"/>
      <c r="E152" s="8" t="s">
        <v>6</v>
      </c>
      <c r="F152" s="8" t="s">
        <v>9</v>
      </c>
      <c r="G152" s="12">
        <v>2021</v>
      </c>
      <c r="H152" s="10">
        <v>4830</v>
      </c>
      <c r="I152" s="11" t="s">
        <v>395</v>
      </c>
    </row>
    <row r="153" spans="1:9">
      <c r="A153" s="78"/>
      <c r="B153" s="19"/>
      <c r="C153" s="8">
        <v>8</v>
      </c>
      <c r="D153" s="8"/>
      <c r="E153" s="8" t="s">
        <v>6</v>
      </c>
      <c r="F153" s="8" t="s">
        <v>9</v>
      </c>
      <c r="G153" s="12">
        <v>2021</v>
      </c>
      <c r="H153" s="10">
        <v>2270</v>
      </c>
      <c r="I153" s="11" t="s">
        <v>396</v>
      </c>
    </row>
    <row r="154" spans="1:9">
      <c r="A154" s="78"/>
      <c r="B154" s="19"/>
      <c r="C154" s="8">
        <v>9</v>
      </c>
      <c r="D154" s="8"/>
      <c r="E154" s="8" t="s">
        <v>6</v>
      </c>
      <c r="F154" s="8" t="s">
        <v>9</v>
      </c>
      <c r="G154" s="12">
        <v>2021</v>
      </c>
      <c r="H154" s="10">
        <v>8860</v>
      </c>
      <c r="I154" s="11" t="s">
        <v>397</v>
      </c>
    </row>
    <row r="155" spans="1:9">
      <c r="A155" s="78"/>
      <c r="B155" s="19"/>
      <c r="C155" s="8">
        <v>10</v>
      </c>
      <c r="D155" s="8"/>
      <c r="E155" s="8" t="s">
        <v>6</v>
      </c>
      <c r="F155" s="8" t="s">
        <v>9</v>
      </c>
      <c r="G155" s="12">
        <v>2021</v>
      </c>
      <c r="H155" s="10">
        <v>4750</v>
      </c>
      <c r="I155" s="11" t="s">
        <v>398</v>
      </c>
    </row>
    <row r="156" spans="1:9">
      <c r="A156" s="78"/>
      <c r="B156" s="19"/>
      <c r="C156" s="8">
        <v>11</v>
      </c>
      <c r="D156" s="8"/>
      <c r="E156" s="8" t="s">
        <v>6</v>
      </c>
      <c r="F156" s="8" t="s">
        <v>9</v>
      </c>
      <c r="G156" s="12">
        <v>2021</v>
      </c>
      <c r="H156" s="10">
        <v>2980</v>
      </c>
      <c r="I156" s="11" t="s">
        <v>399</v>
      </c>
    </row>
    <row r="157" spans="1:9">
      <c r="A157" s="78"/>
      <c r="B157" s="19"/>
      <c r="C157" s="8">
        <v>12</v>
      </c>
      <c r="D157" s="8"/>
      <c r="E157" s="8" t="s">
        <v>6</v>
      </c>
      <c r="F157" s="8" t="s">
        <v>9</v>
      </c>
      <c r="G157" s="12">
        <v>2021</v>
      </c>
      <c r="H157" s="10">
        <v>5830</v>
      </c>
      <c r="I157" s="11" t="s">
        <v>400</v>
      </c>
    </row>
    <row r="158" spans="1:9">
      <c r="A158" s="78"/>
      <c r="B158" s="19"/>
      <c r="C158" s="8">
        <v>13</v>
      </c>
      <c r="D158" s="8"/>
      <c r="E158" s="8" t="s">
        <v>6</v>
      </c>
      <c r="F158" s="8" t="s">
        <v>9</v>
      </c>
      <c r="G158" s="12">
        <v>2021</v>
      </c>
      <c r="H158" s="10">
        <v>4250</v>
      </c>
      <c r="I158" s="11" t="s">
        <v>401</v>
      </c>
    </row>
    <row r="159" spans="1:9">
      <c r="A159" s="78"/>
      <c r="B159" s="19"/>
      <c r="C159" s="8">
        <v>14</v>
      </c>
      <c r="D159" s="8"/>
      <c r="E159" s="8" t="s">
        <v>6</v>
      </c>
      <c r="F159" s="8" t="s">
        <v>9</v>
      </c>
      <c r="G159" s="12">
        <v>2021</v>
      </c>
      <c r="H159" s="10">
        <v>5220</v>
      </c>
      <c r="I159" s="11" t="s">
        <v>402</v>
      </c>
    </row>
    <row r="160" spans="1:9">
      <c r="A160" s="78"/>
      <c r="B160" s="19"/>
      <c r="C160" s="8">
        <v>15</v>
      </c>
      <c r="D160" s="8"/>
      <c r="E160" s="8" t="s">
        <v>6</v>
      </c>
      <c r="F160" s="8" t="s">
        <v>9</v>
      </c>
      <c r="G160" s="12">
        <v>2021</v>
      </c>
      <c r="H160" s="10">
        <v>13810</v>
      </c>
      <c r="I160" s="11" t="s">
        <v>403</v>
      </c>
    </row>
    <row r="161" spans="1:9">
      <c r="A161" s="78"/>
      <c r="B161" s="19"/>
      <c r="C161" s="8">
        <v>16</v>
      </c>
      <c r="D161" s="8"/>
      <c r="E161" s="8" t="s">
        <v>6</v>
      </c>
      <c r="F161" s="8" t="s">
        <v>9</v>
      </c>
      <c r="G161" s="12">
        <v>2021</v>
      </c>
      <c r="H161" s="10">
        <v>4530</v>
      </c>
      <c r="I161" s="11" t="s">
        <v>404</v>
      </c>
    </row>
    <row r="162" spans="1:9">
      <c r="A162" s="78"/>
      <c r="B162" s="19"/>
      <c r="C162" s="8">
        <v>17</v>
      </c>
      <c r="D162" s="8"/>
      <c r="E162" s="8" t="s">
        <v>6</v>
      </c>
      <c r="F162" s="8" t="s">
        <v>9</v>
      </c>
      <c r="G162" s="12">
        <v>2021</v>
      </c>
      <c r="H162" s="10">
        <v>6280</v>
      </c>
      <c r="I162" s="11" t="s">
        <v>405</v>
      </c>
    </row>
    <row r="163" spans="1:9">
      <c r="A163" s="78"/>
      <c r="B163" s="19"/>
      <c r="C163" s="8">
        <v>18</v>
      </c>
      <c r="D163" s="8"/>
      <c r="E163" s="8" t="s">
        <v>6</v>
      </c>
      <c r="F163" s="8" t="s">
        <v>9</v>
      </c>
      <c r="G163" s="12">
        <v>2021</v>
      </c>
      <c r="H163" s="10">
        <v>3530</v>
      </c>
      <c r="I163" s="11" t="s">
        <v>406</v>
      </c>
    </row>
    <row r="164" spans="1:9">
      <c r="A164" s="78"/>
      <c r="B164" s="19"/>
      <c r="C164" s="17" t="s">
        <v>232</v>
      </c>
      <c r="D164" s="17"/>
      <c r="E164" s="17"/>
      <c r="F164" s="17"/>
      <c r="G164" s="17"/>
      <c r="H164" s="13">
        <f t="shared" ref="H164:I164" si="6">SUM(H141:H163)</f>
        <v>120170</v>
      </c>
      <c r="I164" s="16" t="s">
        <v>501</v>
      </c>
    </row>
    <row r="165" spans="1:9">
      <c r="A165" s="78"/>
      <c r="B165" s="19" t="s">
        <v>259</v>
      </c>
      <c r="C165" s="8">
        <v>1</v>
      </c>
      <c r="D165" s="8"/>
      <c r="E165" s="8" t="s">
        <v>6</v>
      </c>
      <c r="F165" s="8" t="s">
        <v>8</v>
      </c>
      <c r="G165" s="12">
        <v>2021</v>
      </c>
      <c r="H165" s="10">
        <v>6690</v>
      </c>
      <c r="I165" s="11" t="s">
        <v>407</v>
      </c>
    </row>
    <row r="166" spans="1:9">
      <c r="A166" s="78"/>
      <c r="B166" s="19"/>
      <c r="C166" s="8">
        <v>2</v>
      </c>
      <c r="D166" s="8"/>
      <c r="E166" s="8" t="s">
        <v>6</v>
      </c>
      <c r="F166" s="8" t="s">
        <v>8</v>
      </c>
      <c r="G166" s="12">
        <v>2021</v>
      </c>
      <c r="H166" s="10">
        <v>3200</v>
      </c>
      <c r="I166" s="11" t="s">
        <v>408</v>
      </c>
    </row>
    <row r="167" spans="1:9">
      <c r="A167" s="78"/>
      <c r="B167" s="19"/>
      <c r="C167" s="8">
        <v>3</v>
      </c>
      <c r="D167" s="8"/>
      <c r="E167" s="8" t="s">
        <v>6</v>
      </c>
      <c r="F167" s="8" t="s">
        <v>8</v>
      </c>
      <c r="G167" s="12">
        <v>2021</v>
      </c>
      <c r="H167" s="10">
        <v>5750</v>
      </c>
      <c r="I167" s="11" t="s">
        <v>409</v>
      </c>
    </row>
    <row r="168" spans="1:9">
      <c r="A168" s="78"/>
      <c r="B168" s="19"/>
      <c r="C168" s="8">
        <v>4</v>
      </c>
      <c r="D168" s="8"/>
      <c r="E168" s="8" t="s">
        <v>6</v>
      </c>
      <c r="F168" s="8" t="s">
        <v>8</v>
      </c>
      <c r="G168" s="12">
        <v>2021</v>
      </c>
      <c r="H168" s="10">
        <v>2140</v>
      </c>
      <c r="I168" s="11" t="s">
        <v>410</v>
      </c>
    </row>
    <row r="169" spans="1:9">
      <c r="A169" s="78"/>
      <c r="B169" s="19"/>
      <c r="C169" s="8">
        <v>5</v>
      </c>
      <c r="D169" s="8"/>
      <c r="E169" s="8" t="s">
        <v>6</v>
      </c>
      <c r="F169" s="8" t="s">
        <v>8</v>
      </c>
      <c r="G169" s="12">
        <v>2021</v>
      </c>
      <c r="H169" s="10">
        <v>4640</v>
      </c>
      <c r="I169" s="11" t="s">
        <v>411</v>
      </c>
    </row>
    <row r="170" spans="1:9">
      <c r="A170" s="78"/>
      <c r="B170" s="19"/>
      <c r="C170" s="8">
        <v>6</v>
      </c>
      <c r="D170" s="8"/>
      <c r="E170" s="8" t="s">
        <v>6</v>
      </c>
      <c r="F170" s="8" t="s">
        <v>8</v>
      </c>
      <c r="G170" s="12">
        <v>2021</v>
      </c>
      <c r="H170" s="10">
        <v>2120</v>
      </c>
      <c r="I170" s="11" t="s">
        <v>412</v>
      </c>
    </row>
    <row r="171" spans="1:9">
      <c r="A171" s="78"/>
      <c r="B171" s="19"/>
      <c r="C171" s="8">
        <v>7</v>
      </c>
      <c r="D171" s="8"/>
      <c r="E171" s="8" t="s">
        <v>6</v>
      </c>
      <c r="F171" s="8" t="s">
        <v>8</v>
      </c>
      <c r="G171" s="12">
        <v>2021</v>
      </c>
      <c r="H171" s="10">
        <v>3010</v>
      </c>
      <c r="I171" s="11" t="s">
        <v>413</v>
      </c>
    </row>
    <row r="172" spans="1:9">
      <c r="A172" s="78"/>
      <c r="B172" s="19"/>
      <c r="C172" s="8">
        <v>8</v>
      </c>
      <c r="D172" s="8"/>
      <c r="E172" s="8" t="s">
        <v>6</v>
      </c>
      <c r="F172" s="8" t="s">
        <v>8</v>
      </c>
      <c r="G172" s="12">
        <v>2021</v>
      </c>
      <c r="H172" s="10">
        <v>3230</v>
      </c>
      <c r="I172" s="11" t="s">
        <v>414</v>
      </c>
    </row>
    <row r="173" spans="1:9">
      <c r="A173" s="78"/>
      <c r="B173" s="19"/>
      <c r="C173" s="8">
        <v>9</v>
      </c>
      <c r="D173" s="8"/>
      <c r="E173" s="8" t="s">
        <v>6</v>
      </c>
      <c r="F173" s="8" t="s">
        <v>8</v>
      </c>
      <c r="G173" s="12">
        <v>2021</v>
      </c>
      <c r="H173" s="10">
        <v>3320</v>
      </c>
      <c r="I173" s="11" t="s">
        <v>415</v>
      </c>
    </row>
    <row r="174" spans="1:9">
      <c r="A174" s="78"/>
      <c r="B174" s="19"/>
      <c r="C174" s="8">
        <v>10</v>
      </c>
      <c r="D174" s="8"/>
      <c r="E174" s="8" t="s">
        <v>6</v>
      </c>
      <c r="F174" s="8" t="s">
        <v>8</v>
      </c>
      <c r="G174" s="12">
        <v>2021</v>
      </c>
      <c r="H174" s="10">
        <v>2540</v>
      </c>
      <c r="I174" s="11" t="s">
        <v>416</v>
      </c>
    </row>
    <row r="175" spans="1:9">
      <c r="A175" s="78"/>
      <c r="B175" s="19"/>
      <c r="C175" s="8">
        <v>11</v>
      </c>
      <c r="D175" s="8"/>
      <c r="E175" s="8" t="s">
        <v>6</v>
      </c>
      <c r="F175" s="8" t="s">
        <v>8</v>
      </c>
      <c r="G175" s="12">
        <v>2021</v>
      </c>
      <c r="H175" s="10">
        <v>2830</v>
      </c>
      <c r="I175" s="11" t="s">
        <v>417</v>
      </c>
    </row>
    <row r="176" spans="1:9">
      <c r="A176" s="78"/>
      <c r="B176" s="19"/>
      <c r="C176" s="8">
        <v>12</v>
      </c>
      <c r="D176" s="8"/>
      <c r="E176" s="8" t="s">
        <v>6</v>
      </c>
      <c r="F176" s="8" t="s">
        <v>8</v>
      </c>
      <c r="G176" s="12">
        <v>2021</v>
      </c>
      <c r="H176" s="10">
        <v>1670</v>
      </c>
      <c r="I176" s="11" t="s">
        <v>417</v>
      </c>
    </row>
    <row r="177" spans="1:9">
      <c r="A177" s="78"/>
      <c r="B177" s="19"/>
      <c r="C177" s="8">
        <v>13</v>
      </c>
      <c r="D177" s="8"/>
      <c r="E177" s="8" t="s">
        <v>6</v>
      </c>
      <c r="F177" s="8" t="s">
        <v>8</v>
      </c>
      <c r="G177" s="12">
        <v>2021</v>
      </c>
      <c r="H177" s="10">
        <v>2670</v>
      </c>
      <c r="I177" s="11" t="s">
        <v>418</v>
      </c>
    </row>
    <row r="178" spans="1:9">
      <c r="A178" s="78"/>
      <c r="B178" s="19"/>
      <c r="C178" s="8">
        <v>14</v>
      </c>
      <c r="D178" s="8"/>
      <c r="E178" s="8" t="s">
        <v>6</v>
      </c>
      <c r="F178" s="8" t="s">
        <v>8</v>
      </c>
      <c r="G178" s="12">
        <v>2021</v>
      </c>
      <c r="H178" s="10">
        <v>3150</v>
      </c>
      <c r="I178" s="11" t="s">
        <v>419</v>
      </c>
    </row>
    <row r="179" spans="1:9">
      <c r="A179" s="78"/>
      <c r="B179" s="19"/>
      <c r="C179" s="8">
        <v>15</v>
      </c>
      <c r="D179" s="8"/>
      <c r="E179" s="8" t="s">
        <v>6</v>
      </c>
      <c r="F179" s="8" t="s">
        <v>8</v>
      </c>
      <c r="G179" s="12">
        <v>2021</v>
      </c>
      <c r="H179" s="10">
        <v>7090</v>
      </c>
      <c r="I179" s="11" t="s">
        <v>420</v>
      </c>
    </row>
    <row r="180" spans="1:9">
      <c r="A180" s="78"/>
      <c r="B180" s="19"/>
      <c r="C180" s="8">
        <v>16</v>
      </c>
      <c r="D180" s="8"/>
      <c r="E180" s="8" t="s">
        <v>6</v>
      </c>
      <c r="F180" s="8" t="s">
        <v>8</v>
      </c>
      <c r="G180" s="12">
        <v>2021</v>
      </c>
      <c r="H180" s="10">
        <v>2910</v>
      </c>
      <c r="I180" s="11" t="s">
        <v>421</v>
      </c>
    </row>
    <row r="181" spans="1:9">
      <c r="A181" s="78"/>
      <c r="B181" s="19"/>
      <c r="C181" s="8">
        <v>17</v>
      </c>
      <c r="D181" s="8"/>
      <c r="E181" s="8" t="s">
        <v>6</v>
      </c>
      <c r="F181" s="8" t="s">
        <v>8</v>
      </c>
      <c r="G181" s="12">
        <v>2021</v>
      </c>
      <c r="H181" s="10">
        <v>6250</v>
      </c>
      <c r="I181" s="11" t="s">
        <v>422</v>
      </c>
    </row>
    <row r="182" spans="1:9">
      <c r="A182" s="78"/>
      <c r="B182" s="19"/>
      <c r="C182" s="8">
        <v>18</v>
      </c>
      <c r="D182" s="8"/>
      <c r="E182" s="8" t="s">
        <v>6</v>
      </c>
      <c r="F182" s="8" t="s">
        <v>8</v>
      </c>
      <c r="G182" s="12">
        <v>2021</v>
      </c>
      <c r="H182" s="10">
        <v>2460</v>
      </c>
      <c r="I182" s="11" t="s">
        <v>423</v>
      </c>
    </row>
    <row r="183" spans="1:9">
      <c r="A183" s="78"/>
      <c r="B183" s="19"/>
      <c r="C183" s="8">
        <v>19</v>
      </c>
      <c r="D183" s="8"/>
      <c r="E183" s="8" t="s">
        <v>6</v>
      </c>
      <c r="F183" s="8" t="s">
        <v>8</v>
      </c>
      <c r="G183" s="12">
        <v>2021</v>
      </c>
      <c r="H183" s="10">
        <v>5050</v>
      </c>
      <c r="I183" s="11" t="s">
        <v>424</v>
      </c>
    </row>
    <row r="184" spans="1:9">
      <c r="A184" s="78"/>
      <c r="B184" s="19"/>
      <c r="C184" s="8">
        <v>20</v>
      </c>
      <c r="D184" s="8"/>
      <c r="E184" s="8" t="s">
        <v>6</v>
      </c>
      <c r="F184" s="8" t="s">
        <v>8</v>
      </c>
      <c r="G184" s="12">
        <v>2021</v>
      </c>
      <c r="H184" s="10">
        <v>4870</v>
      </c>
      <c r="I184" s="11" t="s">
        <v>425</v>
      </c>
    </row>
    <row r="185" spans="1:9">
      <c r="A185" s="78"/>
      <c r="B185" s="19"/>
      <c r="C185" s="8">
        <v>21</v>
      </c>
      <c r="D185" s="8"/>
      <c r="E185" s="8" t="s">
        <v>6</v>
      </c>
      <c r="F185" s="8" t="s">
        <v>8</v>
      </c>
      <c r="G185" s="12">
        <v>2021</v>
      </c>
      <c r="H185" s="10">
        <v>2420</v>
      </c>
      <c r="I185" s="11" t="s">
        <v>426</v>
      </c>
    </row>
    <row r="186" spans="1:9">
      <c r="A186" s="78"/>
      <c r="B186" s="19"/>
      <c r="C186" s="8">
        <v>22</v>
      </c>
      <c r="D186" s="8"/>
      <c r="E186" s="8" t="s">
        <v>6</v>
      </c>
      <c r="F186" s="8" t="s">
        <v>8</v>
      </c>
      <c r="G186" s="12">
        <v>2021</v>
      </c>
      <c r="H186" s="10">
        <v>2120</v>
      </c>
      <c r="I186" s="11" t="s">
        <v>427</v>
      </c>
    </row>
    <row r="187" spans="1:9">
      <c r="A187" s="78"/>
      <c r="B187" s="19"/>
      <c r="C187" s="8">
        <v>23</v>
      </c>
      <c r="D187" s="8"/>
      <c r="E187" s="8" t="s">
        <v>6</v>
      </c>
      <c r="F187" s="8" t="s">
        <v>8</v>
      </c>
      <c r="G187" s="12">
        <v>2021</v>
      </c>
      <c r="H187" s="10">
        <v>4630</v>
      </c>
      <c r="I187" s="11" t="s">
        <v>428</v>
      </c>
    </row>
    <row r="188" spans="1:9">
      <c r="A188" s="78"/>
      <c r="B188" s="19"/>
      <c r="C188" s="8">
        <v>24</v>
      </c>
      <c r="D188" s="8"/>
      <c r="E188" s="8" t="s">
        <v>6</v>
      </c>
      <c r="F188" s="8" t="s">
        <v>8</v>
      </c>
      <c r="G188" s="12">
        <v>2021</v>
      </c>
      <c r="H188" s="10">
        <v>3340</v>
      </c>
      <c r="I188" s="11" t="s">
        <v>429</v>
      </c>
    </row>
    <row r="189" spans="1:9">
      <c r="A189" s="78"/>
      <c r="B189" s="19"/>
      <c r="C189" s="8">
        <v>25</v>
      </c>
      <c r="D189" s="8"/>
      <c r="E189" s="8" t="s">
        <v>6</v>
      </c>
      <c r="F189" s="8" t="s">
        <v>8</v>
      </c>
      <c r="G189" s="12">
        <v>2021</v>
      </c>
      <c r="H189" s="10">
        <v>3180</v>
      </c>
      <c r="I189" s="11" t="s">
        <v>430</v>
      </c>
    </row>
    <row r="190" spans="1:9">
      <c r="A190" s="78"/>
      <c r="B190" s="19"/>
      <c r="C190" s="8">
        <v>26</v>
      </c>
      <c r="D190" s="8"/>
      <c r="E190" s="8" t="s">
        <v>6</v>
      </c>
      <c r="F190" s="8" t="s">
        <v>8</v>
      </c>
      <c r="G190" s="12">
        <v>2021</v>
      </c>
      <c r="H190" s="10">
        <v>1330</v>
      </c>
      <c r="I190" s="11" t="s">
        <v>431</v>
      </c>
    </row>
    <row r="191" spans="1:9">
      <c r="A191" s="78"/>
      <c r="B191" s="19"/>
      <c r="C191" s="8">
        <v>27</v>
      </c>
      <c r="D191" s="8"/>
      <c r="E191" s="8" t="s">
        <v>6</v>
      </c>
      <c r="F191" s="8" t="s">
        <v>8</v>
      </c>
      <c r="G191" s="12">
        <v>2021</v>
      </c>
      <c r="H191" s="10">
        <v>2410</v>
      </c>
      <c r="I191" s="11" t="s">
        <v>431</v>
      </c>
    </row>
    <row r="192" spans="1:9">
      <c r="A192" s="78"/>
      <c r="B192" s="19"/>
      <c r="C192" s="8">
        <v>28</v>
      </c>
      <c r="D192" s="8"/>
      <c r="E192" s="8" t="s">
        <v>6</v>
      </c>
      <c r="F192" s="8" t="s">
        <v>8</v>
      </c>
      <c r="G192" s="12">
        <v>2021</v>
      </c>
      <c r="H192" s="10">
        <v>2340</v>
      </c>
      <c r="I192" s="11" t="s">
        <v>432</v>
      </c>
    </row>
    <row r="193" spans="1:9">
      <c r="A193" s="78"/>
      <c r="B193" s="19"/>
      <c r="C193" s="8">
        <v>29</v>
      </c>
      <c r="D193" s="8"/>
      <c r="E193" s="8" t="s">
        <v>6</v>
      </c>
      <c r="F193" s="8" t="s">
        <v>8</v>
      </c>
      <c r="G193" s="12">
        <v>2021</v>
      </c>
      <c r="H193" s="10">
        <v>2580</v>
      </c>
      <c r="I193" s="11" t="s">
        <v>433</v>
      </c>
    </row>
    <row r="194" spans="1:9">
      <c r="A194" s="78"/>
      <c r="B194" s="19"/>
      <c r="C194" s="8">
        <v>30</v>
      </c>
      <c r="D194" s="8"/>
      <c r="E194" s="8" t="s">
        <v>6</v>
      </c>
      <c r="F194" s="8" t="s">
        <v>8</v>
      </c>
      <c r="G194" s="12">
        <v>2021</v>
      </c>
      <c r="H194" s="10">
        <v>3640</v>
      </c>
      <c r="I194" s="11" t="s">
        <v>434</v>
      </c>
    </row>
    <row r="195" spans="1:9">
      <c r="A195" s="78"/>
      <c r="B195" s="19"/>
      <c r="C195" s="17" t="s">
        <v>234</v>
      </c>
      <c r="D195" s="17"/>
      <c r="E195" s="17"/>
      <c r="F195" s="17"/>
      <c r="G195" s="17"/>
      <c r="H195" s="13">
        <f t="shared" ref="G195:H195" si="7">SUM(H165:H194)</f>
        <v>103580</v>
      </c>
      <c r="I195" s="16" t="s">
        <v>254</v>
      </c>
    </row>
    <row r="196" spans="1:9">
      <c r="A196" s="78"/>
      <c r="B196" s="19" t="s">
        <v>7</v>
      </c>
      <c r="C196" s="8">
        <v>1</v>
      </c>
      <c r="D196" s="8"/>
      <c r="E196" s="8" t="s">
        <v>6</v>
      </c>
      <c r="F196" s="8" t="s">
        <v>7</v>
      </c>
      <c r="G196" s="12">
        <v>2021</v>
      </c>
      <c r="H196" s="10">
        <v>2780</v>
      </c>
      <c r="I196" s="11" t="s">
        <v>435</v>
      </c>
    </row>
    <row r="197" spans="1:9">
      <c r="A197" s="78"/>
      <c r="B197" s="19"/>
      <c r="C197" s="8">
        <v>2</v>
      </c>
      <c r="D197" s="8"/>
      <c r="E197" s="8" t="s">
        <v>6</v>
      </c>
      <c r="F197" s="8" t="s">
        <v>7</v>
      </c>
      <c r="G197" s="12">
        <v>2021</v>
      </c>
      <c r="H197" s="10">
        <v>1580</v>
      </c>
      <c r="I197" s="11" t="s">
        <v>436</v>
      </c>
    </row>
    <row r="198" spans="1:9">
      <c r="A198" s="78"/>
      <c r="B198" s="19"/>
      <c r="C198" s="8">
        <v>3</v>
      </c>
      <c r="D198" s="8"/>
      <c r="E198" s="8" t="s">
        <v>6</v>
      </c>
      <c r="F198" s="8" t="s">
        <v>7</v>
      </c>
      <c r="G198" s="12">
        <v>2021</v>
      </c>
      <c r="H198" s="10">
        <v>1370</v>
      </c>
      <c r="I198" s="11" t="s">
        <v>437</v>
      </c>
    </row>
    <row r="199" spans="1:9">
      <c r="A199" s="78"/>
      <c r="B199" s="19"/>
      <c r="C199" s="8">
        <v>4</v>
      </c>
      <c r="D199" s="8"/>
      <c r="E199" s="8" t="s">
        <v>6</v>
      </c>
      <c r="F199" s="8" t="s">
        <v>7</v>
      </c>
      <c r="G199" s="12">
        <v>2021</v>
      </c>
      <c r="H199" s="12">
        <v>980</v>
      </c>
      <c r="I199" s="11" t="s">
        <v>438</v>
      </c>
    </row>
    <row r="200" spans="1:9">
      <c r="A200" s="78"/>
      <c r="B200" s="19"/>
      <c r="C200" s="8">
        <v>5</v>
      </c>
      <c r="D200" s="8"/>
      <c r="E200" s="8" t="s">
        <v>6</v>
      </c>
      <c r="F200" s="8" t="s">
        <v>7</v>
      </c>
      <c r="G200" s="12">
        <v>2021</v>
      </c>
      <c r="H200" s="10">
        <v>1080</v>
      </c>
      <c r="I200" s="11" t="s">
        <v>439</v>
      </c>
    </row>
    <row r="201" spans="1:9">
      <c r="A201" s="78"/>
      <c r="B201" s="19"/>
      <c r="C201" s="20" t="s">
        <v>502</v>
      </c>
      <c r="D201" s="20"/>
      <c r="E201" s="20"/>
      <c r="F201" s="20"/>
      <c r="G201" s="20"/>
      <c r="H201" s="13">
        <f t="shared" ref="H201" si="8">SUM(H196:H200)</f>
        <v>7790</v>
      </c>
      <c r="I201" s="16" t="s">
        <v>225</v>
      </c>
    </row>
    <row r="202" spans="1:9">
      <c r="A202" s="78"/>
      <c r="B202" s="45" t="s">
        <v>504</v>
      </c>
      <c r="C202" s="45"/>
      <c r="D202" s="45"/>
      <c r="E202" s="45"/>
      <c r="F202" s="45"/>
      <c r="G202" s="45"/>
      <c r="H202" s="46">
        <f>SUM(H201,H195,H164)</f>
        <v>231540</v>
      </c>
      <c r="I202" s="47" t="s">
        <v>503</v>
      </c>
    </row>
    <row r="203" spans="1:9">
      <c r="A203" s="78" t="s">
        <v>487</v>
      </c>
      <c r="B203" s="19" t="s">
        <v>257</v>
      </c>
      <c r="C203" s="8">
        <v>1</v>
      </c>
      <c r="D203" s="8"/>
      <c r="E203" s="8" t="s">
        <v>6</v>
      </c>
      <c r="F203" s="8" t="s">
        <v>9</v>
      </c>
      <c r="G203" s="12">
        <v>2022</v>
      </c>
      <c r="H203" s="10">
        <v>1410</v>
      </c>
      <c r="I203" s="11" t="s">
        <v>389</v>
      </c>
    </row>
    <row r="204" spans="1:9">
      <c r="A204" s="78"/>
      <c r="B204" s="19"/>
      <c r="C204" s="8">
        <v>2</v>
      </c>
      <c r="D204" s="8"/>
      <c r="E204" s="8" t="s">
        <v>6</v>
      </c>
      <c r="F204" s="8" t="s">
        <v>9</v>
      </c>
      <c r="G204" s="12">
        <v>2022</v>
      </c>
      <c r="H204" s="10">
        <v>1590</v>
      </c>
      <c r="I204" s="11" t="s">
        <v>440</v>
      </c>
    </row>
    <row r="205" spans="1:9">
      <c r="A205" s="78"/>
      <c r="B205" s="19"/>
      <c r="C205" s="8">
        <v>3</v>
      </c>
      <c r="D205" s="8"/>
      <c r="E205" s="8" t="s">
        <v>6</v>
      </c>
      <c r="F205" s="8" t="s">
        <v>9</v>
      </c>
      <c r="G205" s="12">
        <v>2022</v>
      </c>
      <c r="H205" s="10">
        <v>4440</v>
      </c>
      <c r="I205" s="11" t="s">
        <v>441</v>
      </c>
    </row>
    <row r="206" spans="1:9">
      <c r="A206" s="78"/>
      <c r="B206" s="19"/>
      <c r="C206" s="8">
        <v>4</v>
      </c>
      <c r="D206" s="8"/>
      <c r="E206" s="8" t="s">
        <v>6</v>
      </c>
      <c r="F206" s="8" t="s">
        <v>9</v>
      </c>
      <c r="G206" s="12">
        <v>2022</v>
      </c>
      <c r="H206" s="10">
        <v>3220</v>
      </c>
      <c r="I206" s="11" t="s">
        <v>442</v>
      </c>
    </row>
    <row r="207" spans="1:9">
      <c r="A207" s="78"/>
      <c r="B207" s="19"/>
      <c r="C207" s="8">
        <v>5</v>
      </c>
      <c r="D207" s="8"/>
      <c r="E207" s="8" t="s">
        <v>6</v>
      </c>
      <c r="F207" s="8" t="s">
        <v>9</v>
      </c>
      <c r="G207" s="12">
        <v>2022</v>
      </c>
      <c r="H207" s="10">
        <v>13050</v>
      </c>
      <c r="I207" s="11" t="s">
        <v>443</v>
      </c>
    </row>
    <row r="208" spans="1:9">
      <c r="A208" s="78"/>
      <c r="B208" s="19"/>
      <c r="C208" s="8">
        <v>6</v>
      </c>
      <c r="D208" s="8"/>
      <c r="E208" s="8" t="s">
        <v>6</v>
      </c>
      <c r="F208" s="8" t="s">
        <v>9</v>
      </c>
      <c r="G208" s="12">
        <v>2022</v>
      </c>
      <c r="H208" s="10">
        <v>2050</v>
      </c>
      <c r="I208" s="11" t="s">
        <v>443</v>
      </c>
    </row>
    <row r="209" spans="1:9">
      <c r="A209" s="78"/>
      <c r="B209" s="19"/>
      <c r="C209" s="8">
        <v>7</v>
      </c>
      <c r="D209" s="8"/>
      <c r="E209" s="8" t="s">
        <v>6</v>
      </c>
      <c r="F209" s="8" t="s">
        <v>9</v>
      </c>
      <c r="G209" s="12">
        <v>2022</v>
      </c>
      <c r="H209" s="10">
        <v>5050</v>
      </c>
      <c r="I209" s="11" t="s">
        <v>444</v>
      </c>
    </row>
    <row r="210" spans="1:9">
      <c r="A210" s="78"/>
      <c r="B210" s="19"/>
      <c r="C210" s="8">
        <v>8</v>
      </c>
      <c r="D210" s="8"/>
      <c r="E210" s="8" t="s">
        <v>6</v>
      </c>
      <c r="F210" s="8" t="s">
        <v>9</v>
      </c>
      <c r="G210" s="12">
        <v>2022</v>
      </c>
      <c r="H210" s="10">
        <v>1540</v>
      </c>
      <c r="I210" s="11" t="s">
        <v>445</v>
      </c>
    </row>
    <row r="211" spans="1:9">
      <c r="A211" s="78"/>
      <c r="B211" s="19"/>
      <c r="C211" s="8">
        <v>9</v>
      </c>
      <c r="D211" s="8"/>
      <c r="E211" s="8" t="s">
        <v>6</v>
      </c>
      <c r="F211" s="8" t="s">
        <v>9</v>
      </c>
      <c r="G211" s="12">
        <v>2022</v>
      </c>
      <c r="H211" s="10">
        <v>3830</v>
      </c>
      <c r="I211" s="11" t="s">
        <v>446</v>
      </c>
    </row>
    <row r="212" spans="1:9">
      <c r="A212" s="78"/>
      <c r="B212" s="19"/>
      <c r="C212" s="8">
        <v>10</v>
      </c>
      <c r="D212" s="8"/>
      <c r="E212" s="8" t="s">
        <v>6</v>
      </c>
      <c r="F212" s="8" t="s">
        <v>9</v>
      </c>
      <c r="G212" s="12">
        <v>2022</v>
      </c>
      <c r="H212" s="10">
        <v>3520</v>
      </c>
      <c r="I212" s="11" t="s">
        <v>447</v>
      </c>
    </row>
    <row r="213" spans="1:9">
      <c r="A213" s="78"/>
      <c r="B213" s="19"/>
      <c r="C213" s="8">
        <v>11</v>
      </c>
      <c r="D213" s="8"/>
      <c r="E213" s="8" t="s">
        <v>6</v>
      </c>
      <c r="F213" s="8" t="s">
        <v>9</v>
      </c>
      <c r="G213" s="12">
        <v>2022</v>
      </c>
      <c r="H213" s="10">
        <v>3790</v>
      </c>
      <c r="I213" s="11" t="s">
        <v>448</v>
      </c>
    </row>
    <row r="214" spans="1:9">
      <c r="A214" s="78"/>
      <c r="B214" s="19"/>
      <c r="C214" s="8">
        <v>12</v>
      </c>
      <c r="D214" s="8"/>
      <c r="E214" s="8" t="s">
        <v>6</v>
      </c>
      <c r="F214" s="8" t="s">
        <v>9</v>
      </c>
      <c r="G214" s="12">
        <v>2022</v>
      </c>
      <c r="H214" s="10">
        <v>6980</v>
      </c>
      <c r="I214" s="11" t="s">
        <v>449</v>
      </c>
    </row>
    <row r="215" spans="1:9">
      <c r="A215" s="78"/>
      <c r="B215" s="19"/>
      <c r="C215" s="8">
        <v>13</v>
      </c>
      <c r="D215" s="8"/>
      <c r="E215" s="8" t="s">
        <v>6</v>
      </c>
      <c r="F215" s="8" t="s">
        <v>9</v>
      </c>
      <c r="G215" s="12">
        <v>2022</v>
      </c>
      <c r="H215" s="10">
        <v>1980</v>
      </c>
      <c r="I215" s="11" t="s">
        <v>450</v>
      </c>
    </row>
    <row r="216" spans="1:9">
      <c r="A216" s="78"/>
      <c r="B216" s="19"/>
      <c r="C216" s="8">
        <v>14</v>
      </c>
      <c r="D216" s="8"/>
      <c r="E216" s="8" t="s">
        <v>6</v>
      </c>
      <c r="F216" s="8" t="s">
        <v>9</v>
      </c>
      <c r="G216" s="12">
        <v>2022</v>
      </c>
      <c r="H216" s="10">
        <v>3900</v>
      </c>
      <c r="I216" s="11" t="s">
        <v>451</v>
      </c>
    </row>
    <row r="217" spans="1:9">
      <c r="A217" s="78"/>
      <c r="B217" s="19"/>
      <c r="C217" s="8">
        <v>15</v>
      </c>
      <c r="D217" s="8"/>
      <c r="E217" s="8" t="s">
        <v>6</v>
      </c>
      <c r="F217" s="8" t="s">
        <v>9</v>
      </c>
      <c r="G217" s="12">
        <v>2022</v>
      </c>
      <c r="H217" s="10">
        <v>4040</v>
      </c>
      <c r="I217" s="11" t="s">
        <v>452</v>
      </c>
    </row>
    <row r="218" spans="1:9">
      <c r="A218" s="78"/>
      <c r="B218" s="19"/>
      <c r="C218" s="8">
        <v>16</v>
      </c>
      <c r="D218" s="8"/>
      <c r="E218" s="8" t="s">
        <v>6</v>
      </c>
      <c r="F218" s="8" t="s">
        <v>9</v>
      </c>
      <c r="G218" s="12">
        <v>2022</v>
      </c>
      <c r="H218" s="10">
        <v>3660</v>
      </c>
      <c r="I218" s="11" t="s">
        <v>453</v>
      </c>
    </row>
    <row r="219" spans="1:9">
      <c r="A219" s="78"/>
      <c r="B219" s="19"/>
      <c r="C219" s="8">
        <v>17</v>
      </c>
      <c r="D219" s="8"/>
      <c r="E219" s="8" t="s">
        <v>6</v>
      </c>
      <c r="F219" s="8" t="s">
        <v>9</v>
      </c>
      <c r="G219" s="12">
        <v>2022</v>
      </c>
      <c r="H219" s="10">
        <v>2420</v>
      </c>
      <c r="I219" s="11" t="s">
        <v>454</v>
      </c>
    </row>
    <row r="220" spans="1:9">
      <c r="A220" s="78"/>
      <c r="B220" s="19"/>
      <c r="C220" s="8">
        <v>18</v>
      </c>
      <c r="D220" s="8"/>
      <c r="E220" s="8" t="s">
        <v>6</v>
      </c>
      <c r="F220" s="8" t="s">
        <v>9</v>
      </c>
      <c r="G220" s="12">
        <v>2022</v>
      </c>
      <c r="H220" s="10">
        <v>1910</v>
      </c>
      <c r="I220" s="11" t="s">
        <v>455</v>
      </c>
    </row>
    <row r="221" spans="1:9">
      <c r="A221" s="78"/>
      <c r="B221" s="19"/>
      <c r="C221" s="8">
        <v>19</v>
      </c>
      <c r="D221" s="8"/>
      <c r="E221" s="8" t="s">
        <v>6</v>
      </c>
      <c r="F221" s="8" t="s">
        <v>9</v>
      </c>
      <c r="G221" s="12">
        <v>2022</v>
      </c>
      <c r="H221" s="10">
        <v>3740</v>
      </c>
      <c r="I221" s="11" t="s">
        <v>456</v>
      </c>
    </row>
    <row r="222" spans="1:9">
      <c r="A222" s="78"/>
      <c r="B222" s="19"/>
      <c r="C222" s="8">
        <v>20</v>
      </c>
      <c r="D222" s="8"/>
      <c r="E222" s="8" t="s">
        <v>6</v>
      </c>
      <c r="F222" s="8" t="s">
        <v>9</v>
      </c>
      <c r="G222" s="12">
        <v>2022</v>
      </c>
      <c r="H222" s="10">
        <v>5270</v>
      </c>
      <c r="I222" s="11" t="s">
        <v>457</v>
      </c>
    </row>
    <row r="223" spans="1:9">
      <c r="A223" s="78"/>
      <c r="B223" s="19"/>
      <c r="C223" s="8">
        <v>21</v>
      </c>
      <c r="D223" s="8"/>
      <c r="E223" s="8" t="s">
        <v>6</v>
      </c>
      <c r="F223" s="8" t="s">
        <v>9</v>
      </c>
      <c r="G223" s="12">
        <v>2022</v>
      </c>
      <c r="H223" s="10">
        <v>4190</v>
      </c>
      <c r="I223" s="11" t="s">
        <v>458</v>
      </c>
    </row>
    <row r="224" spans="1:9">
      <c r="A224" s="78"/>
      <c r="B224" s="19"/>
      <c r="C224" s="8">
        <v>22</v>
      </c>
      <c r="D224" s="8"/>
      <c r="E224" s="8" t="s">
        <v>6</v>
      </c>
      <c r="F224" s="8" t="s">
        <v>9</v>
      </c>
      <c r="G224" s="12">
        <v>2022</v>
      </c>
      <c r="H224" s="10">
        <v>9090</v>
      </c>
      <c r="I224" s="11" t="s">
        <v>459</v>
      </c>
    </row>
    <row r="225" spans="1:9">
      <c r="A225" s="78"/>
      <c r="B225" s="19"/>
      <c r="C225" s="8">
        <v>23</v>
      </c>
      <c r="D225" s="8"/>
      <c r="E225" s="8" t="s">
        <v>6</v>
      </c>
      <c r="F225" s="8" t="s">
        <v>9</v>
      </c>
      <c r="G225" s="12">
        <v>2022</v>
      </c>
      <c r="H225" s="10">
        <v>1580</v>
      </c>
      <c r="I225" s="11" t="s">
        <v>460</v>
      </c>
    </row>
    <row r="226" spans="1:9">
      <c r="A226" s="78"/>
      <c r="B226" s="19"/>
      <c r="C226" s="8">
        <v>24</v>
      </c>
      <c r="D226" s="8"/>
      <c r="E226" s="8" t="s">
        <v>6</v>
      </c>
      <c r="F226" s="8" t="s">
        <v>9</v>
      </c>
      <c r="G226" s="12">
        <v>2022</v>
      </c>
      <c r="H226" s="10">
        <v>1760</v>
      </c>
      <c r="I226" s="11" t="s">
        <v>460</v>
      </c>
    </row>
    <row r="227" spans="1:9">
      <c r="A227" s="78"/>
      <c r="B227" s="19"/>
      <c r="C227" s="8">
        <v>25</v>
      </c>
      <c r="D227" s="8"/>
      <c r="E227" s="8" t="s">
        <v>6</v>
      </c>
      <c r="F227" s="8" t="s">
        <v>9</v>
      </c>
      <c r="G227" s="12">
        <v>2022</v>
      </c>
      <c r="H227" s="10">
        <v>1340</v>
      </c>
      <c r="I227" s="11" t="s">
        <v>461</v>
      </c>
    </row>
    <row r="228" spans="1:9">
      <c r="A228" s="78"/>
      <c r="B228" s="19"/>
      <c r="C228" s="8">
        <v>26</v>
      </c>
      <c r="D228" s="8"/>
      <c r="E228" s="8" t="s">
        <v>6</v>
      </c>
      <c r="F228" s="8" t="s">
        <v>9</v>
      </c>
      <c r="G228" s="12">
        <v>2022</v>
      </c>
      <c r="H228" s="10">
        <v>1650</v>
      </c>
      <c r="I228" s="11" t="s">
        <v>462</v>
      </c>
    </row>
    <row r="229" spans="1:9">
      <c r="A229" s="78"/>
      <c r="B229" s="19"/>
      <c r="C229" s="8">
        <v>27</v>
      </c>
      <c r="D229" s="8"/>
      <c r="E229" s="8" t="s">
        <v>6</v>
      </c>
      <c r="F229" s="8" t="s">
        <v>9</v>
      </c>
      <c r="G229" s="12">
        <v>2022</v>
      </c>
      <c r="H229" s="10">
        <v>1100</v>
      </c>
      <c r="I229" s="11" t="s">
        <v>463</v>
      </c>
    </row>
    <row r="230" spans="1:9">
      <c r="A230" s="78"/>
      <c r="B230" s="19"/>
      <c r="C230" s="8">
        <v>28</v>
      </c>
      <c r="D230" s="8"/>
      <c r="E230" s="8" t="s">
        <v>6</v>
      </c>
      <c r="F230" s="8" t="s">
        <v>9</v>
      </c>
      <c r="G230" s="12">
        <v>2022</v>
      </c>
      <c r="H230" s="10">
        <v>1730</v>
      </c>
      <c r="I230" s="11" t="s">
        <v>464</v>
      </c>
    </row>
    <row r="231" spans="1:9">
      <c r="A231" s="78"/>
      <c r="B231" s="15"/>
      <c r="C231" s="17" t="s">
        <v>240</v>
      </c>
      <c r="D231" s="17"/>
      <c r="E231" s="17"/>
      <c r="F231" s="17"/>
      <c r="G231" s="17"/>
      <c r="H231" s="13">
        <f>SUM(H203:H230)</f>
        <v>99830</v>
      </c>
      <c r="I231" s="16" t="s">
        <v>226</v>
      </c>
    </row>
    <row r="232" spans="1:9">
      <c r="A232" s="78"/>
      <c r="B232" s="19" t="s">
        <v>259</v>
      </c>
      <c r="C232" s="8">
        <v>1</v>
      </c>
      <c r="D232" s="8"/>
      <c r="E232" s="8" t="s">
        <v>6</v>
      </c>
      <c r="F232" s="8" t="s">
        <v>8</v>
      </c>
      <c r="G232" s="12">
        <v>2022</v>
      </c>
      <c r="H232" s="10">
        <v>1960</v>
      </c>
      <c r="I232" s="11" t="s">
        <v>465</v>
      </c>
    </row>
    <row r="233" spans="1:9">
      <c r="A233" s="78"/>
      <c r="B233" s="19"/>
      <c r="C233" s="8">
        <v>2</v>
      </c>
      <c r="D233" s="8"/>
      <c r="E233" s="8" t="s">
        <v>6</v>
      </c>
      <c r="F233" s="8" t="s">
        <v>8</v>
      </c>
      <c r="G233" s="12">
        <v>2022</v>
      </c>
      <c r="H233" s="10">
        <v>4280</v>
      </c>
      <c r="I233" s="11" t="s">
        <v>466</v>
      </c>
    </row>
    <row r="234" spans="1:9">
      <c r="A234" s="78"/>
      <c r="B234" s="19"/>
      <c r="C234" s="8">
        <v>3</v>
      </c>
      <c r="D234" s="8"/>
      <c r="E234" s="8" t="s">
        <v>6</v>
      </c>
      <c r="F234" s="8" t="s">
        <v>8</v>
      </c>
      <c r="G234" s="12">
        <v>2022</v>
      </c>
      <c r="H234" s="10">
        <v>6230</v>
      </c>
      <c r="I234" s="11" t="s">
        <v>467</v>
      </c>
    </row>
    <row r="235" spans="1:9">
      <c r="A235" s="78"/>
      <c r="B235" s="19"/>
      <c r="C235" s="8">
        <v>4</v>
      </c>
      <c r="D235" s="8"/>
      <c r="E235" s="8" t="s">
        <v>6</v>
      </c>
      <c r="F235" s="8" t="s">
        <v>8</v>
      </c>
      <c r="G235" s="12">
        <v>2022</v>
      </c>
      <c r="H235" s="10">
        <v>3620</v>
      </c>
      <c r="I235" s="11" t="s">
        <v>468</v>
      </c>
    </row>
    <row r="236" spans="1:9">
      <c r="A236" s="78"/>
      <c r="B236" s="19"/>
      <c r="C236" s="8">
        <v>5</v>
      </c>
      <c r="D236" s="8"/>
      <c r="E236" s="8" t="s">
        <v>6</v>
      </c>
      <c r="F236" s="8" t="s">
        <v>8</v>
      </c>
      <c r="G236" s="12">
        <v>2022</v>
      </c>
      <c r="H236" s="10">
        <v>1720</v>
      </c>
      <c r="I236" s="11" t="s">
        <v>469</v>
      </c>
    </row>
    <row r="237" spans="1:9">
      <c r="A237" s="78"/>
      <c r="B237" s="19"/>
      <c r="C237" s="8">
        <v>6</v>
      </c>
      <c r="D237" s="8"/>
      <c r="E237" s="8" t="s">
        <v>6</v>
      </c>
      <c r="F237" s="8" t="s">
        <v>8</v>
      </c>
      <c r="G237" s="12">
        <v>2022</v>
      </c>
      <c r="H237" s="10">
        <v>2670</v>
      </c>
      <c r="I237" s="11" t="s">
        <v>470</v>
      </c>
    </row>
    <row r="238" spans="1:9">
      <c r="A238" s="78"/>
      <c r="B238" s="19"/>
      <c r="C238" s="8">
        <v>7</v>
      </c>
      <c r="D238" s="8"/>
      <c r="E238" s="8" t="s">
        <v>6</v>
      </c>
      <c r="F238" s="8" t="s">
        <v>8</v>
      </c>
      <c r="G238" s="12">
        <v>2022</v>
      </c>
      <c r="H238" s="10">
        <v>2870</v>
      </c>
      <c r="I238" s="11" t="s">
        <v>471</v>
      </c>
    </row>
    <row r="239" spans="1:9">
      <c r="A239" s="78"/>
      <c r="B239" s="19"/>
      <c r="C239" s="8">
        <v>8</v>
      </c>
      <c r="D239" s="8"/>
      <c r="E239" s="8" t="s">
        <v>6</v>
      </c>
      <c r="F239" s="8" t="s">
        <v>8</v>
      </c>
      <c r="G239" s="12">
        <v>2022</v>
      </c>
      <c r="H239" s="10">
        <v>3120</v>
      </c>
      <c r="I239" s="11" t="s">
        <v>472</v>
      </c>
    </row>
    <row r="240" spans="1:9">
      <c r="A240" s="78"/>
      <c r="B240" s="19"/>
      <c r="C240" s="8">
        <v>9</v>
      </c>
      <c r="D240" s="8"/>
      <c r="E240" s="8" t="s">
        <v>6</v>
      </c>
      <c r="F240" s="8" t="s">
        <v>8</v>
      </c>
      <c r="G240" s="12">
        <v>2022</v>
      </c>
      <c r="H240" s="10">
        <v>5880</v>
      </c>
      <c r="I240" s="11" t="s">
        <v>473</v>
      </c>
    </row>
    <row r="241" spans="1:9">
      <c r="A241" s="78"/>
      <c r="B241" s="19"/>
      <c r="C241" s="8">
        <v>10</v>
      </c>
      <c r="D241" s="8"/>
      <c r="E241" s="8" t="s">
        <v>6</v>
      </c>
      <c r="F241" s="8" t="s">
        <v>8</v>
      </c>
      <c r="G241" s="12">
        <v>2022</v>
      </c>
      <c r="H241" s="10">
        <v>4450</v>
      </c>
      <c r="I241" s="11" t="s">
        <v>474</v>
      </c>
    </row>
    <row r="242" spans="1:9">
      <c r="A242" s="78"/>
      <c r="B242" s="19"/>
      <c r="C242" s="8">
        <v>11</v>
      </c>
      <c r="D242" s="8"/>
      <c r="E242" s="8" t="s">
        <v>6</v>
      </c>
      <c r="F242" s="8" t="s">
        <v>8</v>
      </c>
      <c r="G242" s="12">
        <v>2022</v>
      </c>
      <c r="H242" s="10">
        <v>1380</v>
      </c>
      <c r="I242" s="11" t="s">
        <v>475</v>
      </c>
    </row>
    <row r="243" spans="1:9">
      <c r="A243" s="78"/>
      <c r="B243" s="19"/>
      <c r="C243" s="8">
        <v>12</v>
      </c>
      <c r="D243" s="8"/>
      <c r="E243" s="8" t="s">
        <v>6</v>
      </c>
      <c r="F243" s="8" t="s">
        <v>8</v>
      </c>
      <c r="G243" s="12">
        <v>2022</v>
      </c>
      <c r="H243" s="10">
        <v>3680</v>
      </c>
      <c r="I243" s="11" t="s">
        <v>476</v>
      </c>
    </row>
    <row r="244" spans="1:9">
      <c r="A244" s="78"/>
      <c r="B244" s="19"/>
      <c r="C244" s="8">
        <v>13</v>
      </c>
      <c r="D244" s="8"/>
      <c r="E244" s="8" t="s">
        <v>6</v>
      </c>
      <c r="F244" s="8" t="s">
        <v>8</v>
      </c>
      <c r="G244" s="12">
        <v>2022</v>
      </c>
      <c r="H244" s="10">
        <v>1780</v>
      </c>
      <c r="I244" s="11" t="s">
        <v>477</v>
      </c>
    </row>
    <row r="245" spans="1:9">
      <c r="A245" s="78"/>
      <c r="B245" s="19"/>
      <c r="C245" s="8">
        <v>14</v>
      </c>
      <c r="D245" s="8"/>
      <c r="E245" s="8" t="s">
        <v>6</v>
      </c>
      <c r="F245" s="8" t="s">
        <v>8</v>
      </c>
      <c r="G245" s="12">
        <v>2022</v>
      </c>
      <c r="H245" s="10">
        <v>1520</v>
      </c>
      <c r="I245" s="11" t="s">
        <v>478</v>
      </c>
    </row>
    <row r="246" spans="1:9">
      <c r="A246" s="78"/>
      <c r="B246" s="19"/>
      <c r="C246" s="8">
        <v>15</v>
      </c>
      <c r="D246" s="8"/>
      <c r="E246" s="8" t="s">
        <v>6</v>
      </c>
      <c r="F246" s="8" t="s">
        <v>8</v>
      </c>
      <c r="G246" s="12">
        <v>2022</v>
      </c>
      <c r="H246" s="10">
        <v>4300</v>
      </c>
      <c r="I246" s="11" t="s">
        <v>479</v>
      </c>
    </row>
    <row r="247" spans="1:9">
      <c r="A247" s="78"/>
      <c r="B247" s="19"/>
      <c r="C247" s="8">
        <v>16</v>
      </c>
      <c r="D247" s="8"/>
      <c r="E247" s="8" t="s">
        <v>6</v>
      </c>
      <c r="F247" s="8" t="s">
        <v>8</v>
      </c>
      <c r="G247" s="12">
        <v>2022</v>
      </c>
      <c r="H247" s="10">
        <v>3430</v>
      </c>
      <c r="I247" s="11" t="s">
        <v>480</v>
      </c>
    </row>
    <row r="248" spans="1:9">
      <c r="A248" s="78"/>
      <c r="B248" s="19"/>
      <c r="C248" s="8">
        <v>17</v>
      </c>
      <c r="D248" s="8"/>
      <c r="E248" s="8" t="s">
        <v>6</v>
      </c>
      <c r="F248" s="8" t="s">
        <v>8</v>
      </c>
      <c r="G248" s="12">
        <v>2022</v>
      </c>
      <c r="H248" s="10">
        <v>4850</v>
      </c>
      <c r="I248" s="11" t="s">
        <v>481</v>
      </c>
    </row>
    <row r="249" spans="1:9">
      <c r="A249" s="78"/>
      <c r="B249" s="48"/>
      <c r="C249" s="17" t="s">
        <v>242</v>
      </c>
      <c r="D249" s="17"/>
      <c r="E249" s="17"/>
      <c r="F249" s="17"/>
      <c r="G249" s="17"/>
      <c r="H249" s="13">
        <f>SUM(H232:H248)</f>
        <v>57740</v>
      </c>
      <c r="I249" s="51" t="s">
        <v>224</v>
      </c>
    </row>
    <row r="250" spans="1:9">
      <c r="A250" s="78"/>
      <c r="B250" s="49" t="s">
        <v>505</v>
      </c>
      <c r="C250" s="49"/>
      <c r="D250" s="49"/>
      <c r="E250" s="49"/>
      <c r="F250" s="49"/>
      <c r="G250" s="49"/>
      <c r="H250" s="46">
        <f>SUM(H249,H231)</f>
        <v>157570</v>
      </c>
      <c r="I250" s="52" t="s">
        <v>508</v>
      </c>
    </row>
    <row r="251" spans="1:9">
      <c r="A251" s="43" t="s">
        <v>506</v>
      </c>
      <c r="B251" s="43"/>
      <c r="C251" s="43"/>
      <c r="D251" s="43"/>
      <c r="E251" s="43"/>
      <c r="F251" s="43"/>
      <c r="G251" s="43"/>
      <c r="H251" s="50">
        <f>SUM(H250,H202,H145,H88)</f>
        <v>652530</v>
      </c>
      <c r="I251" s="53" t="s">
        <v>509</v>
      </c>
    </row>
  </sheetData>
  <mergeCells count="36">
    <mergeCell ref="B250:G250"/>
    <mergeCell ref="A251:G251"/>
    <mergeCell ref="A3:A88"/>
    <mergeCell ref="C201:G201"/>
    <mergeCell ref="B202:G202"/>
    <mergeCell ref="B203:B230"/>
    <mergeCell ref="B232:B248"/>
    <mergeCell ref="C231:G231"/>
    <mergeCell ref="C249:G249"/>
    <mergeCell ref="B145:G145"/>
    <mergeCell ref="C164:G164"/>
    <mergeCell ref="C195:G195"/>
    <mergeCell ref="B146:B164"/>
    <mergeCell ref="B165:B195"/>
    <mergeCell ref="B196:B201"/>
    <mergeCell ref="C139:G139"/>
    <mergeCell ref="B113:B139"/>
    <mergeCell ref="B140:B144"/>
    <mergeCell ref="C142:G142"/>
    <mergeCell ref="C144:G144"/>
    <mergeCell ref="B88:G88"/>
    <mergeCell ref="B89:B112"/>
    <mergeCell ref="C112:G112"/>
    <mergeCell ref="C137:G137"/>
    <mergeCell ref="B44:B68"/>
    <mergeCell ref="C68:G68"/>
    <mergeCell ref="B69:B81"/>
    <mergeCell ref="C81:G81"/>
    <mergeCell ref="B82:B87"/>
    <mergeCell ref="C87:G87"/>
    <mergeCell ref="A146:A202"/>
    <mergeCell ref="A203:A250"/>
    <mergeCell ref="A1:I1"/>
    <mergeCell ref="A89:A145"/>
    <mergeCell ref="B3:B43"/>
    <mergeCell ref="C43:G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2026년</vt:lpstr>
      <vt:lpstr>2025년</vt:lpstr>
      <vt:lpstr>2024년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2025-07-01T02:43:26Z</dcterms:created>
  <dcterms:modified xsi:type="dcterms:W3CDTF">2026-07-31T08:54:38Z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eyAibm9kZUNvdW50IjogMywgIm5vZGUxIiA6IHsiZHNkIjoiMDEwMDAwMDAwMDAwMzQxMiIsImxvZ1RpbWUiOiIyMDI1LTA3LTAxVDAyOjQzOjMwWiIsInBJRCI6MSwicHJvY2Vzc0lkIjoxMjA4OCwicHJvY2Vzc05hbWUiOiJNaWdyYXRpb24uZXhlIiwidHJhY2VJZCI6IjkxOTY1Q0EwMUJGMjRDMkQ4NUNBODk4RDgzODNBNTlEIiwidXN</vt:lpwstr>
  </property>
</Properties>
</file>